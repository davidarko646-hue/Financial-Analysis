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david\Claude Project files\"/>
    </mc:Choice>
  </mc:AlternateContent>
  <xr:revisionPtr revIDLastSave="0" documentId="8_{C5C685FF-2487-4FDF-9793-34EE9DC1ECB4}" xr6:coauthVersionLast="47" xr6:coauthVersionMax="47" xr10:uidLastSave="{00000000-0000-0000-0000-000000000000}"/>
  <bookViews>
    <workbookView xWindow="-120" yWindow="-120" windowWidth="20730" windowHeight="11760" firstSheet="1" activeTab="3" xr2:uid="{E45207AE-9523-4830-A6E2-9ED0DB71E577}"/>
  </bookViews>
  <sheets>
    <sheet name="loan_default_data" sheetId="1" r:id="rId1"/>
    <sheet name="EDA Dashboard" sheetId="2" r:id="rId2"/>
    <sheet name="Statistical Inference" sheetId="3" r:id="rId3"/>
    <sheet name="_chart_data" sheetId="4" r:id="rId4"/>
  </sheets>
  <calcPr calcId="0"/>
</workbook>
</file>

<file path=xl/sharedStrings.xml><?xml version="1.0" encoding="utf-8"?>
<sst xmlns="http://schemas.openxmlformats.org/spreadsheetml/2006/main" count="758" uniqueCount="324">
  <si>
    <t>age</t>
  </si>
  <si>
    <t>income</t>
  </si>
  <si>
    <t>loan_amount</t>
  </si>
  <si>
    <t>credit_score</t>
  </si>
  <si>
    <t>employment_length</t>
  </si>
  <si>
    <t>debt_to_income</t>
  </si>
  <si>
    <t>previous_defaults</t>
  </si>
  <si>
    <t>loan_purpose</t>
  </si>
  <si>
    <t>default</t>
  </si>
  <si>
    <t>business</t>
  </si>
  <si>
    <t>education</t>
  </si>
  <si>
    <t>home</t>
  </si>
  <si>
    <t>personal</t>
  </si>
  <si>
    <t>car</t>
  </si>
  <si>
    <t>LOAN DEFAULT — EXPLORATORY DATA ANALYSIS</t>
  </si>
  <si>
    <t>① DATASET OVERVIEW</t>
  </si>
  <si>
    <t>Metric</t>
  </si>
  <si>
    <t>Value</t>
  </si>
  <si>
    <t>Variable</t>
  </si>
  <si>
    <t>Type</t>
  </si>
  <si>
    <t>Missing</t>
  </si>
  <si>
    <t>Total Records</t>
  </si>
  <si>
    <t>Numeric</t>
  </si>
  <si>
    <t>Total Features</t>
  </si>
  <si>
    <t>Default Count</t>
  </si>
  <si>
    <t>Non-Default Count</t>
  </si>
  <si>
    <t>Default Rate</t>
  </si>
  <si>
    <t>Missing Values</t>
  </si>
  <si>
    <t>Binary</t>
  </si>
  <si>
    <t>Categorical</t>
  </si>
  <si>
    <t>default (target)</t>
  </si>
  <si>
    <t>② DESCRIPTIVE STATISTICS</t>
  </si>
  <si>
    <t>Statistic</t>
  </si>
  <si>
    <t>Age</t>
  </si>
  <si>
    <t>Income</t>
  </si>
  <si>
    <t>Loan Amount</t>
  </si>
  <si>
    <t>Credit Score</t>
  </si>
  <si>
    <t>Empl. Length</t>
  </si>
  <si>
    <t>Debt-to-Income</t>
  </si>
  <si>
    <t>Prev. Defaults</t>
  </si>
  <si>
    <t>Count</t>
  </si>
  <si>
    <t>Mean</t>
  </si>
  <si>
    <t>Std Dev</t>
  </si>
  <si>
    <t>Min</t>
  </si>
  <si>
    <t>25th Pctl</t>
  </si>
  <si>
    <t>Median</t>
  </si>
  <si>
    <t>75th Pctl</t>
  </si>
  <si>
    <t>Max</t>
  </si>
  <si>
    <t>③ DEFAULT vs NON-DEFAULT COMPARISON</t>
  </si>
  <si>
    <t>Group</t>
  </si>
  <si>
    <t>Avg Age</t>
  </si>
  <si>
    <t>Avg Income</t>
  </si>
  <si>
    <t>Avg Loan Amt</t>
  </si>
  <si>
    <t>Avg Credit Score</t>
  </si>
  <si>
    <t>Avg Empl. Length</t>
  </si>
  <si>
    <t>Avg DTI</t>
  </si>
  <si>
    <t>Avg Prev. Defaults</t>
  </si>
  <si>
    <t>Non-Default (0)</t>
  </si>
  <si>
    <t>Default (1)</t>
  </si>
  <si>
    <t>Δ (Diff)</t>
  </si>
  <si>
    <t>④ CORRELATION MATRIX</t>
  </si>
  <si>
    <t>Loan Amt</t>
  </si>
  <si>
    <t>Empl. Len</t>
  </si>
  <si>
    <t>DTI</t>
  </si>
  <si>
    <t>Prev. Def</t>
  </si>
  <si>
    <t>Default</t>
  </si>
  <si>
    <t>⑤ DEFAULT RATE BY LOAN PURPOSE</t>
  </si>
  <si>
    <t>Loan Purpose</t>
  </si>
  <si>
    <t>Business</t>
  </si>
  <si>
    <t>Home</t>
  </si>
  <si>
    <t>Car</t>
  </si>
  <si>
    <t>Education</t>
  </si>
  <si>
    <t>Personal</t>
  </si>
  <si>
    <t>⑥ DEFAULT RATE BY AGE GROUP</t>
  </si>
  <si>
    <t>Age Group</t>
  </si>
  <si>
    <t>21-25</t>
  </si>
  <si>
    <t>26-30</t>
  </si>
  <si>
    <t>31-35</t>
  </si>
  <si>
    <t>36-40</t>
  </si>
  <si>
    <t>41-45</t>
  </si>
  <si>
    <t>46-50</t>
  </si>
  <si>
    <t>51-55</t>
  </si>
  <si>
    <t>⑦ DEFAULT RATE BY CREDIT SCORE BUCKET</t>
  </si>
  <si>
    <t>Credit Bucket</t>
  </si>
  <si>
    <t>575-600</t>
  </si>
  <si>
    <t>601-650</t>
  </si>
  <si>
    <t>651-700</t>
  </si>
  <si>
    <t>701-750</t>
  </si>
  <si>
    <t>⑧ DEFAULT RATE BY INCOME QUINTILE</t>
  </si>
  <si>
    <t>Income Quintile</t>
  </si>
  <si>
    <t>Min Income</t>
  </si>
  <si>
    <t>Max Income</t>
  </si>
  <si>
    <t>Q1 (Lowest)</t>
  </si>
  <si>
    <t>Q2</t>
  </si>
  <si>
    <t>Q3</t>
  </si>
  <si>
    <t>Q4</t>
  </si>
  <si>
    <t>Q5 (Highest)</t>
  </si>
  <si>
    <t>⑨ DEFAULT RATE BY DTI BUCKET</t>
  </si>
  <si>
    <t>DTI Bucket</t>
  </si>
  <si>
    <t>0.19 - 0.25</t>
  </si>
  <si>
    <t>0.26 - 0.35</t>
  </si>
  <si>
    <t>0.36 - 0.45</t>
  </si>
  <si>
    <t>0.46 - 0.57</t>
  </si>
  <si>
    <t>⑩ PREVIOUS DEFAULTS IMPACT</t>
  </si>
  <si>
    <t>No (0)</t>
  </si>
  <si>
    <t>Yes (1)</t>
  </si>
  <si>
    <t>* 100% of borrowers with previous defaults defaulted again — strongest single predictor</t>
  </si>
  <si>
    <t>KEY INSIGHTS &amp; FINDINGS</t>
  </si>
  <si>
    <t>#</t>
  </si>
  <si>
    <t>Category</t>
  </si>
  <si>
    <t>Insight</t>
  </si>
  <si>
    <t>Severity</t>
  </si>
  <si>
    <t>Target Imbalance</t>
  </si>
  <si>
    <t>Default rate is 20.2% (38/188) — moderately imbalanced dataset</t>
  </si>
  <si>
    <t>⚠️ Medium</t>
  </si>
  <si>
    <t>Previous Defaults</t>
  </si>
  <si>
    <t>100% of borrowers with previous defaults (31/31) defaulted again — strongest predictor (r = 0.883)</t>
  </si>
  <si>
    <t>🔴 Critical</t>
  </si>
  <si>
    <t>DTI Ratio</t>
  </si>
  <si>
    <t>DTI has highest correlation with default (r = 0.801). All borrowers with DTI &gt; 0.46 defaulted; none with DTI ≤ 0.35 did</t>
  </si>
  <si>
    <t>Credit score strongly negatively correlated (r = -0.776). All defaults occur below 621; zero defaults above 650</t>
  </si>
  <si>
    <t>Age Effect</t>
  </si>
  <si>
    <t>100% of borrowers aged 21-25 defaulted. No defaults for anyone aged 31+. Age correlated with income, credit, employment</t>
  </si>
  <si>
    <t>Personal loans have 96.9% default rate vs 0% for business/home/car. Education loans at 23.3%</t>
  </si>
  <si>
    <t>Lowest income quintile (&lt;$34.5K) has 94.9% default rate. Zero defaults above Q2 ($45K+)</t>
  </si>
  <si>
    <t>⚠️ High</t>
  </si>
  <si>
    <t>Multicollinearity</t>
  </si>
  <si>
    <t>Very high correlations among features (age-income: 0.995, credit-DTI: -0.991). Consider dimensionality reduction for modeling</t>
  </si>
  <si>
    <t>Data Quality</t>
  </si>
  <si>
    <t>Zero missing values across all 9 features. No data cleaning required</t>
  </si>
  <si>
    <t>✅ Good</t>
  </si>
  <si>
    <t>Default profile: Young (21-25), low income (&lt;$35K), low credit score (&lt;600), high DTI (&gt;0.46), personal loan purpose, previous defaults</t>
  </si>
  <si>
    <t>Non-Default</t>
  </si>
  <si>
    <t>0.19-0.25</t>
  </si>
  <si>
    <t>0.26-0.35</t>
  </si>
  <si>
    <t>0.36-0.45</t>
  </si>
  <si>
    <t>0.46-0.57</t>
  </si>
  <si>
    <t>No</t>
  </si>
  <si>
    <t>Yes</t>
  </si>
  <si>
    <t>VISUALIZATIONS</t>
  </si>
  <si>
    <t>LOAN DEFAULT — STATISTICAL INFERENCE</t>
  </si>
  <si>
    <t>METHODOLOGY OVERVIEW</t>
  </si>
  <si>
    <t>Objective</t>
  </si>
  <si>
    <t>Test whether borrower characteristics differ significantly between defaulters and non-defaulters (α = 0.05)</t>
  </si>
  <si>
    <t>Sample</t>
  </si>
  <si>
    <t>n = 188 (Default: 38, Non-Default: 150)</t>
  </si>
  <si>
    <t>Test Battery</t>
  </si>
  <si>
    <t>Shapiro-Wilk (normality) → Levene's (homogeneity) → Welch's t / Mann-Whitney U → Chi-Square → Point-Biserial r → Odds Ratio</t>
  </si>
  <si>
    <t>Significance</t>
  </si>
  <si>
    <t>α = 0.05 (two-tailed). Effect sizes: Cohen's d (t-tests), Rank-biserial r (U-tests), Cramér's V (χ²), r² (correlations)</t>
  </si>
  <si>
    <t>Corrections</t>
  </si>
  <si>
    <t>Welch's t-test used (does not assume equal variances). Haldane-Anscombe correction (+0.5) applied for odds ratio with zero cells.</t>
  </si>
  <si>
    <t>① SHAPIRO-WILK NORMALITY TESTS</t>
  </si>
  <si>
    <t>W (Overall)</t>
  </si>
  <si>
    <t>p (Overall)</t>
  </si>
  <si>
    <t>Normal?</t>
  </si>
  <si>
    <t>W (Default)</t>
  </si>
  <si>
    <t>p (Default)</t>
  </si>
  <si>
    <t>W (Non-Def)</t>
  </si>
  <si>
    <t>p (Non-Def)</t>
  </si>
  <si>
    <t>Interpretation: Most variables violate normality → non-parametric Mann-Whitney U tests are the primary inference; t-tests reported for comparison.</t>
  </si>
  <si>
    <t>② LEVENE’S TEST FOR EQUALITY OF VARIANCES</t>
  </si>
  <si>
    <t>Levene F</t>
  </si>
  <si>
    <t>p-value</t>
  </si>
  <si>
    <t>Equal Variance?</t>
  </si>
  <si>
    <t>Implication</t>
  </si>
  <si>
    <t>Use Welch's t</t>
  </si>
  <si>
    <t>Conclusion: All variables show unequal variances (p &lt; 0.001) → Welch’s correction is mandatory for t-tests.</t>
  </si>
  <si>
    <t>③ WELCH’S T-TESTS (Default vs Non-Default)</t>
  </si>
  <si>
    <t>Mean (Default)</t>
  </si>
  <si>
    <t>Mean (Non-Def)</t>
  </si>
  <si>
    <t>t-statistic</t>
  </si>
  <si>
    <t>Cohen’s d</t>
  </si>
  <si>
    <t>Effect Size</t>
  </si>
  <si>
    <t>Significant?</t>
  </si>
  <si>
    <t>Very Large</t>
  </si>
  <si>
    <t>✅ Yes</t>
  </si>
  <si>
    <t>Cohen’s d thresholds: |d| &lt; 0.2 = negligible, 0.2–0.5 = small, 0.5–0.8 = medium, &gt; 0.8 = large. All variables exceed |d| &gt; 1.8 → extremely large practical differences.</t>
  </si>
  <si>
    <t>④ MANN-WHITNEY U TESTS (Non-Parametric Confirmation)</t>
  </si>
  <si>
    <t>U-statistic</t>
  </si>
  <si>
    <t>Rank-Biserial r</t>
  </si>
  <si>
    <t>Agrees w/ t-test?</t>
  </si>
  <si>
    <t>Perfect</t>
  </si>
  <si>
    <t>Rank-biserial r thresholds: |r| &lt; 0.1 = negligible, 0.1–0.3 = small, 0.3–0.5 = medium, &gt; 0.5 = large. All results confirm parametric findings with near-perfect separation.</t>
  </si>
  <si>
    <t>⑤ CHI-SQUARE TESTS OF INDEPENDENCE</t>
  </si>
  <si>
    <t>Test</t>
  </si>
  <si>
    <t>χ² Statistic</t>
  </si>
  <si>
    <t>df</t>
  </si>
  <si>
    <t>Cramér’s V</t>
  </si>
  <si>
    <t>Loan Purpose × Default</t>
  </si>
  <si>
    <t>Prev. Defaults × Default</t>
  </si>
  <si>
    <t>Contingency Table: Loan Purpose × Default</t>
  </si>
  <si>
    <t>Total</t>
  </si>
  <si>
    <t>Contingency Table: Previous Defaults × Default</t>
  </si>
  <si>
    <t>No Prev. Default</t>
  </si>
  <si>
    <t>Has Prev. Default</t>
  </si>
  <si>
    <t>Cramér’s V thresholds (df=1): V &lt; 0.1 = negligible, 0.1–0.3 = small, 0.3–0.5 = medium, &gt; 0.5 = large.</t>
  </si>
  <si>
    <t>⑥ POINT-BISERIAL CORRELATIONS WITH DEFAULT</t>
  </si>
  <si>
    <t>r</t>
  </si>
  <si>
    <t>r² (Var. Explained)</t>
  </si>
  <si>
    <t>Direction</t>
  </si>
  <si>
    <t>Strength</t>
  </si>
  <si>
    <t>↑ Positive</t>
  </si>
  <si>
    <t>#1 Strongest</t>
  </si>
  <si>
    <t>#2</t>
  </si>
  <si>
    <t>↓ Negative</t>
  </si>
  <si>
    <t>#3</t>
  </si>
  <si>
    <t>#4</t>
  </si>
  <si>
    <t>#5</t>
  </si>
  <si>
    <t>#6</t>
  </si>
  <si>
    <t>#7</t>
  </si>
  <si>
    <t>All p-values &lt; 0.001. previous_defaults alone explains 77.9% of default variance. Top 3 predictors explain &gt; 60% each.</t>
  </si>
  <si>
    <t>⑦ ODDS RATIO ANALYSIS (Previous Defaults → Default)</t>
  </si>
  <si>
    <t>Interpretation</t>
  </si>
  <si>
    <t>Odds Ratio (OR)</t>
  </si>
  <si>
    <t>Borrowers with previous defaults are ~1,264× more likely to default again</t>
  </si>
  <si>
    <t>95% CI — Lower</t>
  </si>
  <si>
    <t>Even the conservative lower bound shows a 70× increased risk</t>
  </si>
  <si>
    <t>95% CI — Upper</t>
  </si>
  <si>
    <t>Wide CI due to zero-cell correction (no previous defaulters avoided re-default)</t>
  </si>
  <si>
    <t>SE(ln OR)</t>
  </si>
  <si>
    <t>Standard error of log-odds; elevated due to sparse cells</t>
  </si>
  <si>
    <t>Correction Applied</t>
  </si>
  <si>
    <t>Haldane +0.5</t>
  </si>
  <si>
    <t>Added 0.5 to all cells to handle zero-count cell (0 non-defaulters with prev. defaults)</t>
  </si>
  <si>
    <t>2×2 Table Used:</t>
  </si>
  <si>
    <t>Default=Yes</t>
  </si>
  <si>
    <t>Default=No</t>
  </si>
  <si>
    <t>Prev. Default = Yes</t>
  </si>
  <si>
    <t>← Zero cell triggers Haldane correction</t>
  </si>
  <si>
    <t>Prev. Default = No</t>
  </si>
  <si>
    <t>STATISTICAL CONCLUSIONS</t>
  </si>
  <si>
    <t>Hypothesis</t>
  </si>
  <si>
    <t>Test Used</t>
  </si>
  <si>
    <t>Result</t>
  </si>
  <si>
    <t>Verdict</t>
  </si>
  <si>
    <t>Defaulters are younger than non-defaulters</t>
  </si>
  <si>
    <t>Welch's t / Mann-Whitney U</t>
  </si>
  <si>
    <t>p &lt; 0.001</t>
  </si>
  <si>
    <t>d = -2.79</t>
  </si>
  <si>
    <t>✅ Reject H₀ — Defaulters are significantly younger (avg 24.6 vs 40.3)</t>
  </si>
  <si>
    <t>Defaulters have lower income</t>
  </si>
  <si>
    <t>d = -2.44</t>
  </si>
  <si>
    <t>✅ Reject H₀ — Defaulters earn ~$30K vs ~$64K for non-defaulters</t>
  </si>
  <si>
    <t>Defaulters have lower credit scores</t>
  </si>
  <si>
    <t>d = -3.74</t>
  </si>
  <si>
    <t>✅ Reject H₀ — Largest t-test effect; complete separation below 621</t>
  </si>
  <si>
    <t>Defaulters have higher DTI ratios</t>
  </si>
  <si>
    <t>d = 3.79</t>
  </si>
  <si>
    <t>✅ Reject H₀ — DTI 0.51 (default) vs 0.31 (non-default); near-perfect rank separation</t>
  </si>
  <si>
    <t>Loan purpose is associated with default</t>
  </si>
  <si>
    <t>Pearson χ²</t>
  </si>
  <si>
    <t>V = 0.89</t>
  </si>
  <si>
    <t>✅ Reject H₀ — Personal loans nearly guarantee default (96.9%)</t>
  </si>
  <si>
    <t>Previous defaults predict re-default</t>
  </si>
  <si>
    <t>χ² / Odds Ratio</t>
  </si>
  <si>
    <t>OR = 1,264</t>
  </si>
  <si>
    <t>✅ Reject H₀ — 100% re-default rate; OR = 1,264× (strongest single predictor)</t>
  </si>
  <si>
    <t>All numeric variables differ between groups</t>
  </si>
  <si>
    <t>Point-Biserial r</t>
  </si>
  <si>
    <t>All p &lt; 0.001</t>
  </si>
  <si>
    <t>r²: 26–78%</t>
  </si>
  <si>
    <t>✅ Every feature significantly predicts default with large effect sizes</t>
  </si>
  <si>
    <t>OVERALL VERDICT: All null hypotheses of no difference are decisively rejected (p &lt; 0.001 across all tests). Both parametric and non-parametric tests</t>
  </si>
  <si>
    <t>converge on identical conclusions. Effect sizes are uniformly "very large," indicating not just statistical but substantial practical significance.</t>
  </si>
  <si>
    <t>MODELING RECOMMENDATION: previous_defaults, debt_to_income, and credit_score are the top 3 predictors (r² &gt; 60%). High multicollinearity (age–income r = 0.995)</t>
  </si>
  <si>
    <t>suggests dimensionality reduction (PCA) or regularized models (Lasso/Ridge) before building a classifier. Consider class imbalance handling (SMOTE/class weights).</t>
  </si>
  <si>
    <t>QQ: Credit Score</t>
  </si>
  <si>
    <t>Theoretical</t>
  </si>
  <si>
    <t>Observed</t>
  </si>
  <si>
    <t>QQ: DTI Ratio</t>
  </si>
  <si>
    <t>QQ: Age</t>
  </si>
  <si>
    <t>QQ: Income</t>
  </si>
  <si>
    <t>Credit Score Bin</t>
  </si>
  <si>
    <t>575-591</t>
  </si>
  <si>
    <t>591-607</t>
  </si>
  <si>
    <t>607-623</t>
  </si>
  <si>
    <t>623-639</t>
  </si>
  <si>
    <t>639-655</t>
  </si>
  <si>
    <t>655-670</t>
  </si>
  <si>
    <t>670-686</t>
  </si>
  <si>
    <t>686-702</t>
  </si>
  <si>
    <t>702-718</t>
  </si>
  <si>
    <t>718-734</t>
  </si>
  <si>
    <t>734-750</t>
  </si>
  <si>
    <t>DTI Bin</t>
  </si>
  <si>
    <t>0.19-0.22</t>
  </si>
  <si>
    <t>0.22-0.26</t>
  </si>
  <si>
    <t>0.26-0.29</t>
  </si>
  <si>
    <t>0.29-0.33</t>
  </si>
  <si>
    <t>0.33-0.36</t>
  </si>
  <si>
    <t>0.36-0.40</t>
  </si>
  <si>
    <t>0.40-0.43</t>
  </si>
  <si>
    <t>0.43-0.47</t>
  </si>
  <si>
    <t>0.47-0.50</t>
  </si>
  <si>
    <t>0.50-0.54</t>
  </si>
  <si>
    <t>0.54-0.57</t>
  </si>
  <si>
    <t>Age Bin</t>
  </si>
  <si>
    <t>22-25</t>
  </si>
  <si>
    <t>25-28</t>
  </si>
  <si>
    <t>28-30</t>
  </si>
  <si>
    <t>30-33</t>
  </si>
  <si>
    <t>33-36</t>
  </si>
  <si>
    <t>36-39</t>
  </si>
  <si>
    <t>39-42</t>
  </si>
  <si>
    <t>42-45</t>
  </si>
  <si>
    <t>45-47</t>
  </si>
  <si>
    <t>47-50</t>
  </si>
  <si>
    <t>50-53</t>
  </si>
  <si>
    <t>Income Bin</t>
  </si>
  <si>
    <t>27K-34K</t>
  </si>
  <si>
    <t>34K-40K</t>
  </si>
  <si>
    <t>40K-47K</t>
  </si>
  <si>
    <t>47K-53K</t>
  </si>
  <si>
    <t>53K-60K</t>
  </si>
  <si>
    <t>60K-66K</t>
  </si>
  <si>
    <t>66K-73K</t>
  </si>
  <si>
    <t>73K-79K</t>
  </si>
  <si>
    <t>79K-86K</t>
  </si>
  <si>
    <t>86K-92K</t>
  </si>
  <si>
    <t>92K-99K</t>
  </si>
  <si>
    <t>NORMALITY VISUALIZATIONS</t>
  </si>
  <si>
    <t>Q-Q Plots: Points falling on the diagonal = normal. Deviations at tails indicate non-normality (skewness/kurtosis).</t>
  </si>
  <si>
    <t>Distribution Histograms: Show frequency by Default (red) vs Non-Default (blue) group — reveals separation and shape differences.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</si>
</sst>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\+0.00;\-0.00"/>
    <numFmt numFmtId="167" formatCode="0.000"/>
    <numFmt numFmtId="168" formatCode="0.000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i/>
      <sz val="10"/>
      <color rgb="FF1F4E79"/>
      <name val="Aptos Narrow"/>
      <family val="2"/>
      <scheme val="minor"/>
    </font>
    <font>
      <b/>
      <sz val="12"/>
      <color rgb="FF833C0B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0"/>
      <color rgb="FF833C0B"/>
      <name val="Aptos Narrow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6B9E"/>
        <bgColor indexed="64"/>
      </patternFill>
    </fill>
    <fill>
      <patternFill patternType="solid">
        <fgColor rgb="FF3D88C3"/>
        <bgColor indexed="64"/>
      </patternFill>
    </fill>
    <fill>
      <patternFill patternType="solid">
        <fgColor rgb="FF3680BA"/>
        <bgColor indexed="64"/>
      </patternFill>
    </fill>
    <fill>
      <patternFill patternType="solid">
        <fgColor rgb="FF347CB6"/>
        <bgColor indexed="64"/>
      </patternFill>
    </fill>
    <fill>
      <patternFill patternType="solid">
        <fgColor rgb="FFC44E4E"/>
        <bgColor indexed="64"/>
      </patternFill>
    </fill>
    <fill>
      <patternFill patternType="solid">
        <fgColor rgb="FFD98C8C"/>
        <bgColor indexed="64"/>
      </patternFill>
    </fill>
    <fill>
      <patternFill patternType="solid">
        <fgColor rgb="FFD47777"/>
        <bgColor indexed="64"/>
      </patternFill>
    </fill>
    <fill>
      <patternFill patternType="solid">
        <fgColor rgb="FF337AB4"/>
        <bgColor indexed="64"/>
      </patternFill>
    </fill>
    <fill>
      <patternFill patternType="solid">
        <fgColor rgb="FF4695CE"/>
        <bgColor indexed="64"/>
      </patternFill>
    </fill>
    <fill>
      <patternFill patternType="solid">
        <fgColor rgb="FF2F6DA0"/>
        <bgColor indexed="64"/>
      </patternFill>
    </fill>
    <fill>
      <patternFill patternType="solid">
        <fgColor rgb="FFB83A3A"/>
        <bgColor indexed="64"/>
      </patternFill>
    </fill>
    <fill>
      <patternFill patternType="solid">
        <fgColor rgb="FFDFA0A0"/>
        <bgColor indexed="64"/>
      </patternFill>
    </fill>
    <fill>
      <patternFill patternType="solid">
        <fgColor rgb="FF4D9FD8"/>
        <bgColor indexed="64"/>
      </patternFill>
    </fill>
    <fill>
      <patternFill patternType="solid">
        <fgColor rgb="FF327AB3"/>
        <bgColor indexed="64"/>
      </patternFill>
    </fill>
    <fill>
      <patternFill patternType="solid">
        <fgColor rgb="FFBD4040"/>
        <bgColor indexed="64"/>
      </patternFill>
    </fill>
    <fill>
      <patternFill patternType="solid">
        <fgColor rgb="FFE5B5B5"/>
        <bgColor indexed="64"/>
      </patternFill>
    </fill>
    <fill>
      <patternFill patternType="solid">
        <fgColor rgb="FFE2ABAB"/>
        <bgColor indexed="64"/>
      </patternFill>
    </fill>
    <fill>
      <patternFill patternType="solid">
        <fgColor rgb="FF4FA1DA"/>
        <bgColor indexed="64"/>
      </patternFill>
    </fill>
    <fill>
      <patternFill patternType="solid">
        <fgColor rgb="FFAA2222"/>
        <bgColor indexed="64"/>
      </patternFill>
    </fill>
    <fill>
      <patternFill patternType="solid">
        <fgColor rgb="FFCF6565"/>
        <bgColor indexed="64"/>
      </patternFill>
    </fill>
    <fill>
      <patternFill patternType="solid">
        <fgColor rgb="FFC95252"/>
        <bgColor indexed="64"/>
      </patternFill>
    </fill>
    <fill>
      <patternFill patternType="solid">
        <fgColor rgb="FFBC3E3E"/>
        <bgColor indexed="64"/>
      </patternFill>
    </fill>
    <fill>
      <patternFill patternType="solid">
        <fgColor rgb="FFE2A9A9"/>
        <bgColor indexed="64"/>
      </patternFill>
    </fill>
    <fill>
      <patternFill patternType="solid">
        <fgColor rgb="FFDD9D9D"/>
        <bgColor indexed="64"/>
      </patternFill>
    </fill>
    <fill>
      <patternFill patternType="solid">
        <fgColor rgb="FF4B9CD6"/>
        <bgColor indexed="64"/>
      </patternFill>
    </fill>
    <fill>
      <patternFill patternType="solid">
        <fgColor rgb="FF4291CB"/>
        <bgColor indexed="64"/>
      </patternFill>
    </fill>
    <fill>
      <patternFill patternType="solid">
        <fgColor rgb="FF833C0B"/>
        <bgColor indexed="64"/>
      </patternFill>
    </fill>
    <fill>
      <patternFill patternType="solid">
        <fgColor rgb="FFF2E1D0"/>
        <bgColor indexed="64"/>
      </patternFill>
    </fill>
    <fill>
      <patternFill patternType="solid">
        <fgColor rgb="FFE2C5A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4">
    <xf numFmtId="0" fontId="0" fillId="0" borderId="0" xfId="0"/>
    <xf numFmtId="0" fontId="19" fillId="33" borderId="0" xfId="0" applyFont="1" applyFill="1" applyAlignment="1">
      <alignment horizontal="left"/>
    </xf>
    <xf numFmtId="0" fontId="0" fillId="33" borderId="0" xfId="0" applyFill="1"/>
    <xf numFmtId="0" fontId="20" fillId="0" borderId="0" xfId="0" applyFont="1"/>
    <xf numFmtId="0" fontId="16" fillId="0" borderId="0" xfId="0" applyFont="1"/>
    <xf numFmtId="0" fontId="16" fillId="34" borderId="0" xfId="0" applyFont="1" applyFill="1"/>
    <xf numFmtId="0" fontId="22" fillId="0" borderId="0" xfId="0" applyFont="1"/>
    <xf numFmtId="164" fontId="22" fillId="0" borderId="0" xfId="0" applyNumberFormat="1" applyFont="1"/>
    <xf numFmtId="0" fontId="24" fillId="0" borderId="0" xfId="0" applyFont="1"/>
    <xf numFmtId="0" fontId="16" fillId="34" borderId="0" xfId="0" applyFon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35" borderId="0" xfId="0" applyNumberFormat="1" applyFill="1" applyAlignment="1">
      <alignment horizontal="center"/>
    </xf>
    <xf numFmtId="3" fontId="0" fillId="35" borderId="0" xfId="0" applyNumberFormat="1" applyFill="1" applyAlignment="1">
      <alignment horizontal="center"/>
    </xf>
    <xf numFmtId="165" fontId="0" fillId="35" borderId="0" xfId="0" applyNumberFormat="1" applyFill="1" applyAlignment="1">
      <alignment horizontal="center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25" fillId="0" borderId="0" xfId="0" applyFont="1"/>
    <xf numFmtId="0" fontId="25" fillId="36" borderId="0" xfId="0" applyFont="1" applyFill="1"/>
    <xf numFmtId="2" fontId="0" fillId="36" borderId="0" xfId="0" applyNumberFormat="1" applyFill="1" applyAlignment="1">
      <alignment horizontal="center"/>
    </xf>
    <xf numFmtId="3" fontId="0" fillId="36" borderId="0" xfId="0" applyNumberFormat="1" applyFill="1" applyAlignment="1">
      <alignment horizontal="center"/>
    </xf>
    <xf numFmtId="165" fontId="0" fillId="36" borderId="0" xfId="0" applyNumberFormat="1" applyFill="1" applyAlignment="1">
      <alignment horizontal="center"/>
    </xf>
    <xf numFmtId="166" fontId="0" fillId="36" borderId="0" xfId="0" applyNumberFormat="1" applyFill="1" applyAlignment="1">
      <alignment horizontal="center"/>
    </xf>
    <xf numFmtId="0" fontId="0" fillId="34" borderId="0" xfId="0" applyFill="1"/>
    <xf numFmtId="167" fontId="18" fillId="33" borderId="0" xfId="0" applyNumberFormat="1" applyFont="1" applyFill="1" applyAlignment="1">
      <alignment horizontal="center"/>
    </xf>
    <xf numFmtId="167" fontId="18" fillId="37" borderId="0" xfId="0" applyNumberFormat="1" applyFont="1" applyFill="1" applyAlignment="1">
      <alignment horizontal="center"/>
    </xf>
    <xf numFmtId="167" fontId="18" fillId="38" borderId="0" xfId="0" applyNumberFormat="1" applyFont="1" applyFill="1" applyAlignment="1">
      <alignment horizontal="center"/>
    </xf>
    <xf numFmtId="167" fontId="18" fillId="39" borderId="0" xfId="0" applyNumberFormat="1" applyFont="1" applyFill="1" applyAlignment="1">
      <alignment horizontal="center"/>
    </xf>
    <xf numFmtId="167" fontId="18" fillId="40" borderId="0" xfId="0" applyNumberFormat="1" applyFont="1" applyFill="1" applyAlignment="1">
      <alignment horizontal="center"/>
    </xf>
    <xf numFmtId="167" fontId="18" fillId="41" borderId="0" xfId="0" applyNumberFormat="1" applyFont="1" applyFill="1" applyAlignment="1">
      <alignment horizontal="center"/>
    </xf>
    <xf numFmtId="167" fontId="0" fillId="42" borderId="0" xfId="0" applyNumberFormat="1" applyFill="1" applyAlignment="1">
      <alignment horizontal="center"/>
    </xf>
    <xf numFmtId="167" fontId="0" fillId="43" borderId="0" xfId="0" applyNumberFormat="1" applyFill="1" applyAlignment="1">
      <alignment horizontal="center"/>
    </xf>
    <xf numFmtId="167" fontId="18" fillId="44" borderId="0" xfId="0" applyNumberFormat="1" applyFont="1" applyFill="1" applyAlignment="1">
      <alignment horizontal="center"/>
    </xf>
    <xf numFmtId="167" fontId="18" fillId="45" borderId="0" xfId="0" applyNumberFormat="1" applyFont="1" applyFill="1" applyAlignment="1">
      <alignment horizontal="center"/>
    </xf>
    <xf numFmtId="167" fontId="18" fillId="46" borderId="0" xfId="0" applyNumberFormat="1" applyFont="1" applyFill="1" applyAlignment="1">
      <alignment horizontal="center"/>
    </xf>
    <xf numFmtId="167" fontId="18" fillId="47" borderId="0" xfId="0" applyNumberFormat="1" applyFont="1" applyFill="1" applyAlignment="1">
      <alignment horizontal="center"/>
    </xf>
    <xf numFmtId="167" fontId="0" fillId="48" borderId="0" xfId="0" applyNumberFormat="1" applyFill="1" applyAlignment="1">
      <alignment horizontal="center"/>
    </xf>
    <xf numFmtId="167" fontId="18" fillId="49" borderId="0" xfId="0" applyNumberFormat="1" applyFont="1" applyFill="1" applyAlignment="1">
      <alignment horizontal="center"/>
    </xf>
    <xf numFmtId="167" fontId="18" fillId="50" borderId="0" xfId="0" applyNumberFormat="1" applyFont="1" applyFill="1" applyAlignment="1">
      <alignment horizontal="center"/>
    </xf>
    <xf numFmtId="167" fontId="18" fillId="51" borderId="0" xfId="0" applyNumberFormat="1" applyFont="1" applyFill="1" applyAlignment="1">
      <alignment horizontal="center"/>
    </xf>
    <xf numFmtId="167" fontId="0" fillId="52" borderId="0" xfId="0" applyNumberFormat="1" applyFill="1" applyAlignment="1">
      <alignment horizontal="center"/>
    </xf>
    <xf numFmtId="167" fontId="0" fillId="53" borderId="0" xfId="0" applyNumberFormat="1" applyFill="1" applyAlignment="1">
      <alignment horizontal="center"/>
    </xf>
    <xf numFmtId="167" fontId="18" fillId="54" borderId="0" xfId="0" applyNumberFormat="1" applyFont="1" applyFill="1" applyAlignment="1">
      <alignment horizontal="center"/>
    </xf>
    <xf numFmtId="167" fontId="18" fillId="55" borderId="0" xfId="0" applyNumberFormat="1" applyFont="1" applyFill="1" applyAlignment="1">
      <alignment horizontal="center"/>
    </xf>
    <xf numFmtId="167" fontId="18" fillId="56" borderId="0" xfId="0" applyNumberFormat="1" applyFont="1" applyFill="1" applyAlignment="1">
      <alignment horizontal="center"/>
    </xf>
    <xf numFmtId="167" fontId="18" fillId="57" borderId="0" xfId="0" applyNumberFormat="1" applyFont="1" applyFill="1" applyAlignment="1">
      <alignment horizontal="center"/>
    </xf>
    <xf numFmtId="167" fontId="18" fillId="58" borderId="0" xfId="0" applyNumberFormat="1" applyFont="1" applyFill="1" applyAlignment="1">
      <alignment horizontal="center"/>
    </xf>
    <xf numFmtId="167" fontId="0" fillId="59" borderId="0" xfId="0" applyNumberFormat="1" applyFill="1" applyAlignment="1">
      <alignment horizontal="center"/>
    </xf>
    <xf numFmtId="167" fontId="0" fillId="60" borderId="0" xfId="0" applyNumberFormat="1" applyFill="1" applyAlignment="1">
      <alignment horizontal="center"/>
    </xf>
    <xf numFmtId="167" fontId="18" fillId="61" borderId="0" xfId="0" applyNumberFormat="1" applyFont="1" applyFill="1" applyAlignment="1">
      <alignment horizontal="center"/>
    </xf>
    <xf numFmtId="167" fontId="18" fillId="62" borderId="0" xfId="0" applyNumberFormat="1" applyFont="1" applyFill="1" applyAlignment="1">
      <alignment horizontal="center"/>
    </xf>
    <xf numFmtId="0" fontId="20" fillId="34" borderId="0" xfId="0" applyFont="1" applyFill="1"/>
    <xf numFmtId="164" fontId="0" fillId="0" borderId="0" xfId="0" applyNumberFormat="1" applyAlignment="1">
      <alignment horizontal="center"/>
    </xf>
    <xf numFmtId="0" fontId="16" fillId="35" borderId="0" xfId="0" applyFont="1" applyFill="1"/>
    <xf numFmtId="164" fontId="0" fillId="35" borderId="0" xfId="0" applyNumberFormat="1" applyFill="1" applyAlignment="1">
      <alignment horizontal="center"/>
    </xf>
    <xf numFmtId="0" fontId="22" fillId="35" borderId="0" xfId="0" applyFont="1" applyFill="1" applyAlignment="1">
      <alignment horizontal="center"/>
    </xf>
    <xf numFmtId="164" fontId="22" fillId="35" borderId="0" xfId="0" applyNumberFormat="1" applyFont="1" applyFill="1" applyAlignment="1">
      <alignment horizontal="center"/>
    </xf>
    <xf numFmtId="0" fontId="22" fillId="36" borderId="0" xfId="0" applyFont="1" applyFill="1" applyAlignment="1">
      <alignment horizontal="center"/>
    </xf>
    <xf numFmtId="164" fontId="22" fillId="36" borderId="0" xfId="0" applyNumberFormat="1" applyFont="1" applyFill="1" applyAlignment="1">
      <alignment horizontal="center"/>
    </xf>
    <xf numFmtId="0" fontId="20" fillId="35" borderId="0" xfId="0" applyFont="1" applyFill="1"/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6" fillId="0" borderId="0" xfId="0" applyFont="1"/>
    <xf numFmtId="0" fontId="27" fillId="33" borderId="0" xfId="0" applyFont="1" applyFill="1"/>
    <xf numFmtId="0" fontId="1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8" fillId="0" borderId="0" xfId="0" applyFont="1"/>
    <xf numFmtId="0" fontId="19" fillId="63" borderId="0" xfId="0" applyFont="1" applyFill="1" applyAlignment="1">
      <alignment horizontal="left"/>
    </xf>
    <xf numFmtId="0" fontId="0" fillId="63" borderId="0" xfId="0" applyFill="1"/>
    <xf numFmtId="0" fontId="29" fillId="0" borderId="0" xfId="0" applyFont="1"/>
    <xf numFmtId="0" fontId="16" fillId="64" borderId="0" xfId="0" applyFont="1" applyFill="1"/>
    <xf numFmtId="0" fontId="0" fillId="64" borderId="0" xfId="0" applyFill="1"/>
    <xf numFmtId="0" fontId="16" fillId="65" borderId="0" xfId="0" applyFont="1" applyFill="1"/>
    <xf numFmtId="0" fontId="16" fillId="65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168" fontId="0" fillId="35" borderId="0" xfId="0" applyNumberFormat="1" applyFill="1" applyAlignment="1">
      <alignment horizontal="center"/>
    </xf>
    <xf numFmtId="0" fontId="24" fillId="35" borderId="0" xfId="0" applyFont="1" applyFill="1" applyAlignment="1">
      <alignment horizontal="center"/>
    </xf>
    <xf numFmtId="11" fontId="0" fillId="0" borderId="0" xfId="0" applyNumberFormat="1" applyAlignment="1">
      <alignment horizontal="center"/>
    </xf>
    <xf numFmtId="11" fontId="0" fillId="35" borderId="0" xfId="0" applyNumberFormat="1" applyFill="1" applyAlignment="1">
      <alignment horizontal="center"/>
    </xf>
    <xf numFmtId="0" fontId="23" fillId="0" borderId="0" xfId="0" applyFont="1" applyAlignment="1">
      <alignment horizontal="center"/>
    </xf>
    <xf numFmtId="0" fontId="23" fillId="35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0" fillId="35" borderId="0" xfId="0" applyNumberFormat="1" applyFill="1" applyAlignment="1">
      <alignment horizontal="center"/>
    </xf>
    <xf numFmtId="0" fontId="0" fillId="65" borderId="0" xfId="0" applyFill="1"/>
    <xf numFmtId="0" fontId="16" fillId="35" borderId="0" xfId="0" applyFont="1" applyFill="1" applyAlignment="1">
      <alignment horizontal="center"/>
    </xf>
    <xf numFmtId="0" fontId="16" fillId="36" borderId="0" xfId="0" applyFont="1" applyFill="1"/>
    <xf numFmtId="168" fontId="16" fillId="36" borderId="0" xfId="0" applyNumberFormat="1" applyFont="1" applyFill="1" applyAlignment="1">
      <alignment horizontal="center"/>
    </xf>
    <xf numFmtId="164" fontId="16" fillId="36" borderId="0" xfId="0" applyNumberFormat="1" applyFont="1" applyFill="1" applyAlignment="1">
      <alignment horizontal="center"/>
    </xf>
    <xf numFmtId="11" fontId="0" fillId="36" borderId="0" xfId="0" applyNumberFormat="1" applyFill="1" applyAlignment="1">
      <alignment horizontal="center"/>
    </xf>
    <xf numFmtId="0" fontId="24" fillId="36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35" borderId="0" xfId="0" applyFont="1" applyFill="1" applyAlignment="1">
      <alignment horizontal="center"/>
    </xf>
    <xf numFmtId="0" fontId="26" fillId="35" borderId="0" xfId="0" applyFont="1" applyFill="1"/>
    <xf numFmtId="4" fontId="2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27" fillId="63" borderId="0" xfId="0" applyFont="1" applyFill="1"/>
    <xf numFmtId="0" fontId="3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vs Non-Default by Loan Purpose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'EDA Dashboard'!$L$3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Dashboard'!$K$4:$K$8</c:f>
              <c:strCache>
                <c:ptCount val="5"/>
                <c:pt idx="0">
                  <c:v>Personal</c:v>
                </c:pt>
                <c:pt idx="1">
                  <c:v>Education</c:v>
                </c:pt>
                <c:pt idx="2">
                  <c:v>Car</c:v>
                </c:pt>
                <c:pt idx="3">
                  <c:v>Home</c:v>
                </c:pt>
                <c:pt idx="4">
                  <c:v>Business</c:v>
                </c:pt>
              </c:strCache>
            </c:strRef>
          </c:cat>
          <c:val>
            <c:numRef>
              <c:f>'EDA Dashboard'!$L$4:$L$8</c:f>
              <c:numCache>
                <c:formatCode>General</c:formatCode>
                <c:ptCount val="5"/>
                <c:pt idx="0">
                  <c:v>31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7-4280-B4DA-D8A256FBB17C}"/>
            </c:ext>
          </c:extLst>
        </c:ser>
        <c:ser>
          <c:idx val="1"/>
          <c:order val="1"/>
          <c:tx>
            <c:strRef>
              <c:f>'EDA Dashboard'!$M$3</c:f>
              <c:strCache>
                <c:ptCount val="1"/>
                <c:pt idx="0">
                  <c:v>Non-Default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Dashboard'!$K$4:$K$8</c:f>
              <c:strCache>
                <c:ptCount val="5"/>
                <c:pt idx="0">
                  <c:v>Personal</c:v>
                </c:pt>
                <c:pt idx="1">
                  <c:v>Education</c:v>
                </c:pt>
                <c:pt idx="2">
                  <c:v>Car</c:v>
                </c:pt>
                <c:pt idx="3">
                  <c:v>Home</c:v>
                </c:pt>
                <c:pt idx="4">
                  <c:v>Business</c:v>
                </c:pt>
              </c:strCache>
            </c:strRef>
          </c:cat>
          <c:val>
            <c:numRef>
              <c:f>'EDA Dashboard'!$M$4:$M$8</c:f>
              <c:numCache>
                <c:formatCode>General</c:formatCode>
                <c:ptCount val="5"/>
                <c:pt idx="0">
                  <c:v>1</c:v>
                </c:pt>
                <c:pt idx="1">
                  <c:v>23</c:v>
                </c:pt>
                <c:pt idx="2">
                  <c:v>38</c:v>
                </c:pt>
                <c:pt idx="3">
                  <c:v>44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7-4280-B4DA-D8A256FBB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8819759"/>
        <c:axId val="1730086672"/>
      </c:barChart>
      <c:catAx>
        <c:axId val="121881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86672"/>
        <c:crosses val="autoZero"/>
        <c:auto val="1"/>
        <c:lblAlgn val="ctr"/>
        <c:lblOffset val="100"/>
        <c:noMultiLvlLbl val="0"/>
      </c:catAx>
      <c:valAx>
        <c:axId val="173008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81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Dashboard'!$L$10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Dashboard'!$K$11:$K$17</c:f>
              <c:strCache>
                <c:ptCount val="7"/>
                <c:pt idx="0">
                  <c:v>21-25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41-45</c:v>
                </c:pt>
                <c:pt idx="5">
                  <c:v>46-50</c:v>
                </c:pt>
                <c:pt idx="6">
                  <c:v>51-55</c:v>
                </c:pt>
              </c:strCache>
            </c:strRef>
          </c:cat>
          <c:val>
            <c:numRef>
              <c:f>'EDA Dashboard'!$L$11:$L$17</c:f>
              <c:numCache>
                <c:formatCode>General</c:formatCode>
                <c:ptCount val="7"/>
                <c:pt idx="0">
                  <c:v>1</c:v>
                </c:pt>
                <c:pt idx="1">
                  <c:v>0.38200000000000001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B-47FA-89CC-C84215F9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085232"/>
        <c:axId val="1730085712"/>
      </c:barChart>
      <c:catAx>
        <c:axId val="173008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85712"/>
        <c:crosses val="autoZero"/>
        <c:auto val="1"/>
        <c:lblAlgn val="ctr"/>
        <c:lblOffset val="100"/>
        <c:noMultiLvlLbl val="0"/>
      </c:catAx>
      <c:valAx>
        <c:axId val="17300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8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Credit Score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Dashboard'!$L$19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Dashboard'!$K$20:$K$23</c:f>
              <c:strCache>
                <c:ptCount val="4"/>
                <c:pt idx="0">
                  <c:v>575-600</c:v>
                </c:pt>
                <c:pt idx="1">
                  <c:v>601-650</c:v>
                </c:pt>
                <c:pt idx="2">
                  <c:v>651-700</c:v>
                </c:pt>
                <c:pt idx="3">
                  <c:v>701-750</c:v>
                </c:pt>
              </c:strCache>
            </c:strRef>
          </c:cat>
          <c:val>
            <c:numRef>
              <c:f>'EDA Dashboard'!$L$20:$L$23</c:f>
              <c:numCache>
                <c:formatCode>General</c:formatCode>
                <c:ptCount val="4"/>
                <c:pt idx="0">
                  <c:v>1</c:v>
                </c:pt>
                <c:pt idx="1">
                  <c:v>0.24199999999999999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7-406B-9429-1670FD8A9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815376"/>
        <c:axId val="1726815856"/>
      </c:barChart>
      <c:catAx>
        <c:axId val="1726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15856"/>
        <c:crosses val="autoZero"/>
        <c:auto val="1"/>
        <c:lblAlgn val="ctr"/>
        <c:lblOffset val="100"/>
        <c:noMultiLvlLbl val="0"/>
      </c:catAx>
      <c:valAx>
        <c:axId val="17268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Debt-to-Income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Dashboard'!$L$25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Dashboard'!$K$26:$K$29</c:f>
              <c:strCache>
                <c:ptCount val="4"/>
                <c:pt idx="0">
                  <c:v>0.19-0.25</c:v>
                </c:pt>
                <c:pt idx="1">
                  <c:v>0.26-0.35</c:v>
                </c:pt>
                <c:pt idx="2">
                  <c:v>0.36-0.45</c:v>
                </c:pt>
                <c:pt idx="3">
                  <c:v>0.46-0.57</c:v>
                </c:pt>
              </c:strCache>
            </c:strRef>
          </c:cat>
          <c:val>
            <c:numRef>
              <c:f>'EDA Dashboard'!$L$26:$L$29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9.2999999999999999E-2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6-48BB-9C63-DB0A5967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348112"/>
        <c:axId val="1729347152"/>
      </c:barChart>
      <c:catAx>
        <c:axId val="17293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47152"/>
        <c:crosses val="autoZero"/>
        <c:auto val="1"/>
        <c:lblAlgn val="ctr"/>
        <c:lblOffset val="100"/>
        <c:noMultiLvlLbl val="0"/>
      </c:catAx>
      <c:valAx>
        <c:axId val="172934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4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Income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Dashboard'!$L$31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Dashboard'!$K$32:$K$36</c:f>
              <c:strCache>
                <c:ptCount val="5"/>
                <c:pt idx="0">
                  <c:v>Q1 (Lowest)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 (Highest)</c:v>
                </c:pt>
              </c:strCache>
            </c:strRef>
          </c:cat>
          <c:val>
            <c:numRef>
              <c:f>'EDA Dashboard'!$L$32:$L$36</c:f>
              <c:numCache>
                <c:formatCode>General</c:formatCode>
                <c:ptCount val="5"/>
                <c:pt idx="0">
                  <c:v>0.94899999999999995</c:v>
                </c:pt>
                <c:pt idx="1">
                  <c:v>2.5999999999999999E-2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5-469F-B782-325955A9B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897328"/>
        <c:axId val="1346897808"/>
      </c:barChart>
      <c:catAx>
        <c:axId val="134689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7808"/>
        <c:crosses val="autoZero"/>
        <c:auto val="1"/>
        <c:lblAlgn val="ctr"/>
        <c:lblOffset val="100"/>
        <c:noMultiLvlLbl val="0"/>
      </c:catAx>
      <c:valAx>
        <c:axId val="13468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Rate: Previous Defaults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Dashboard'!$L$38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Dashboard'!$K$39:$K$40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'EDA Dashboard'!$L$39:$L$40</c:f>
              <c:numCache>
                <c:formatCode>General</c:formatCode>
                <c:ptCount val="2"/>
                <c:pt idx="0">
                  <c:v>4.4999999999999998E-2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A-4A20-9CF4-E8413F41A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6898288"/>
        <c:axId val="1346900208"/>
      </c:barChart>
      <c:catAx>
        <c:axId val="134689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00208"/>
        <c:crosses val="autoZero"/>
        <c:auto val="1"/>
        <c:lblAlgn val="ctr"/>
        <c:lblOffset val="100"/>
        <c:noMultiLvlLbl val="0"/>
      </c:catAx>
      <c:valAx>
        <c:axId val="134690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Q-Q Plot: Credit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_chart_data!$C$1</c:f>
              <c:strCache>
                <c:ptCount val="1"/>
                <c:pt idx="0">
                  <c:v>Observed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_chart_data!$B$2:$B$21</c:f>
              <c:numCache>
                <c:formatCode>General</c:formatCode>
                <c:ptCount val="20"/>
                <c:pt idx="0">
                  <c:v>-1.96</c:v>
                </c:pt>
                <c:pt idx="1">
                  <c:v>-1.44</c:v>
                </c:pt>
                <c:pt idx="2">
                  <c:v>-1.1499999999999999</c:v>
                </c:pt>
                <c:pt idx="3">
                  <c:v>-0.93500000000000005</c:v>
                </c:pt>
                <c:pt idx="4">
                  <c:v>-0.755</c:v>
                </c:pt>
                <c:pt idx="5">
                  <c:v>-0.59799999999999998</c:v>
                </c:pt>
                <c:pt idx="6">
                  <c:v>-0.45400000000000001</c:v>
                </c:pt>
                <c:pt idx="7">
                  <c:v>-0.31900000000000001</c:v>
                </c:pt>
                <c:pt idx="8">
                  <c:v>-0.189</c:v>
                </c:pt>
                <c:pt idx="9">
                  <c:v>-6.3E-2</c:v>
                </c:pt>
                <c:pt idx="10">
                  <c:v>6.3E-2</c:v>
                </c:pt>
                <c:pt idx="11">
                  <c:v>0.189</c:v>
                </c:pt>
                <c:pt idx="12">
                  <c:v>0.31900000000000001</c:v>
                </c:pt>
                <c:pt idx="13">
                  <c:v>0.45400000000000001</c:v>
                </c:pt>
                <c:pt idx="14">
                  <c:v>0.59799999999999998</c:v>
                </c:pt>
                <c:pt idx="15">
                  <c:v>0.755</c:v>
                </c:pt>
                <c:pt idx="16">
                  <c:v>0.93500000000000005</c:v>
                </c:pt>
                <c:pt idx="17">
                  <c:v>1.1499999999999999</c:v>
                </c:pt>
                <c:pt idx="18">
                  <c:v>1.44</c:v>
                </c:pt>
                <c:pt idx="19">
                  <c:v>1.96</c:v>
                </c:pt>
              </c:numCache>
            </c:numRef>
          </c:xVal>
          <c:yVal>
            <c:numRef>
              <c:f>_chart_data!$C$2:$C$21</c:f>
              <c:numCache>
                <c:formatCode>General</c:formatCode>
                <c:ptCount val="20"/>
                <c:pt idx="0">
                  <c:v>-1.7569999999999999</c:v>
                </c:pt>
                <c:pt idx="1">
                  <c:v>-1.629</c:v>
                </c:pt>
                <c:pt idx="2">
                  <c:v>-1.484</c:v>
                </c:pt>
                <c:pt idx="3">
                  <c:v>-1.302</c:v>
                </c:pt>
                <c:pt idx="4">
                  <c:v>-1.0289999999999999</c:v>
                </c:pt>
                <c:pt idx="5">
                  <c:v>-0.70199999999999996</c:v>
                </c:pt>
                <c:pt idx="6">
                  <c:v>-0.42899999999999999</c:v>
                </c:pt>
                <c:pt idx="7">
                  <c:v>-0.28399999999999997</c:v>
                </c:pt>
                <c:pt idx="8">
                  <c:v>7.0000000000000001E-3</c:v>
                </c:pt>
                <c:pt idx="9">
                  <c:v>0.153</c:v>
                </c:pt>
                <c:pt idx="10">
                  <c:v>0.28000000000000003</c:v>
                </c:pt>
                <c:pt idx="11">
                  <c:v>0.38900000000000001</c:v>
                </c:pt>
                <c:pt idx="12">
                  <c:v>0.498</c:v>
                </c:pt>
                <c:pt idx="13">
                  <c:v>0.64400000000000002</c:v>
                </c:pt>
                <c:pt idx="14">
                  <c:v>0.80700000000000005</c:v>
                </c:pt>
                <c:pt idx="15">
                  <c:v>0.91700000000000004</c:v>
                </c:pt>
                <c:pt idx="16">
                  <c:v>1.044</c:v>
                </c:pt>
                <c:pt idx="17">
                  <c:v>1.153</c:v>
                </c:pt>
                <c:pt idx="18">
                  <c:v>1.298</c:v>
                </c:pt>
                <c:pt idx="19">
                  <c:v>1.4259999999999999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8E-4C64-B771-A1A91CE97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365712"/>
        <c:axId val="1729363792"/>
      </c:scatterChart>
      <c:valAx>
        <c:axId val="172936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63792"/>
        <c:crosses val="autoZero"/>
        <c:crossBetween val="midCat"/>
      </c:valAx>
      <c:valAx>
        <c:axId val="172936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6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Q-Q Plot: Debt-to-Income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_chart_data!$G$1</c:f>
              <c:strCache>
                <c:ptCount val="1"/>
                <c:pt idx="0">
                  <c:v>Observed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_chart_data!$F$2:$F$21</c:f>
              <c:numCache>
                <c:formatCode>General</c:formatCode>
                <c:ptCount val="20"/>
                <c:pt idx="0">
                  <c:v>-1.96</c:v>
                </c:pt>
                <c:pt idx="1">
                  <c:v>-1.44</c:v>
                </c:pt>
                <c:pt idx="2">
                  <c:v>-1.1499999999999999</c:v>
                </c:pt>
                <c:pt idx="3">
                  <c:v>-0.93500000000000005</c:v>
                </c:pt>
                <c:pt idx="4">
                  <c:v>-0.755</c:v>
                </c:pt>
                <c:pt idx="5">
                  <c:v>-0.59799999999999998</c:v>
                </c:pt>
                <c:pt idx="6">
                  <c:v>-0.45400000000000001</c:v>
                </c:pt>
                <c:pt idx="7">
                  <c:v>-0.31900000000000001</c:v>
                </c:pt>
                <c:pt idx="8">
                  <c:v>-0.189</c:v>
                </c:pt>
                <c:pt idx="9">
                  <c:v>-6.3E-2</c:v>
                </c:pt>
                <c:pt idx="10">
                  <c:v>6.3E-2</c:v>
                </c:pt>
                <c:pt idx="11">
                  <c:v>0.189</c:v>
                </c:pt>
                <c:pt idx="12">
                  <c:v>0.31900000000000001</c:v>
                </c:pt>
                <c:pt idx="13">
                  <c:v>0.45400000000000001</c:v>
                </c:pt>
                <c:pt idx="14">
                  <c:v>0.59799999999999998</c:v>
                </c:pt>
                <c:pt idx="15">
                  <c:v>0.755</c:v>
                </c:pt>
                <c:pt idx="16">
                  <c:v>0.93500000000000005</c:v>
                </c:pt>
                <c:pt idx="17">
                  <c:v>1.1499999999999999</c:v>
                </c:pt>
                <c:pt idx="18">
                  <c:v>1.44</c:v>
                </c:pt>
                <c:pt idx="19">
                  <c:v>1.96</c:v>
                </c:pt>
              </c:numCache>
            </c:numRef>
          </c:xVal>
          <c:yVal>
            <c:numRef>
              <c:f>_chart_data!$G$2:$G$21</c:f>
              <c:numCache>
                <c:formatCode>General</c:formatCode>
                <c:ptCount val="20"/>
                <c:pt idx="0">
                  <c:v>-1.4419999999999999</c:v>
                </c:pt>
                <c:pt idx="1">
                  <c:v>-1.258</c:v>
                </c:pt>
                <c:pt idx="2">
                  <c:v>-1.1659999999999999</c:v>
                </c:pt>
                <c:pt idx="3">
                  <c:v>-0.98199999999999998</c:v>
                </c:pt>
                <c:pt idx="4">
                  <c:v>-0.79900000000000004</c:v>
                </c:pt>
                <c:pt idx="5">
                  <c:v>-0.70699999999999996</c:v>
                </c:pt>
                <c:pt idx="6">
                  <c:v>-0.61499999999999999</c:v>
                </c:pt>
                <c:pt idx="7">
                  <c:v>-0.52300000000000002</c:v>
                </c:pt>
                <c:pt idx="8">
                  <c:v>-0.432</c:v>
                </c:pt>
                <c:pt idx="9">
                  <c:v>-0.248</c:v>
                </c:pt>
                <c:pt idx="10">
                  <c:v>-0.156</c:v>
                </c:pt>
                <c:pt idx="11">
                  <c:v>2.8000000000000001E-2</c:v>
                </c:pt>
                <c:pt idx="12">
                  <c:v>0.21099999999999999</c:v>
                </c:pt>
                <c:pt idx="13">
                  <c:v>0.30299999999999999</c:v>
                </c:pt>
                <c:pt idx="14">
                  <c:v>0.48699999999999999</c:v>
                </c:pt>
                <c:pt idx="15">
                  <c:v>0.85399999999999998</c:v>
                </c:pt>
                <c:pt idx="16">
                  <c:v>1.129</c:v>
                </c:pt>
                <c:pt idx="17">
                  <c:v>1.4970000000000001</c:v>
                </c:pt>
                <c:pt idx="18">
                  <c:v>1.772</c:v>
                </c:pt>
                <c:pt idx="19">
                  <c:v>2.048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2F-4E48-8475-6787041F5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839120"/>
        <c:axId val="1733839600"/>
      </c:scatterChart>
      <c:valAx>
        <c:axId val="173383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39600"/>
        <c:crosses val="autoZero"/>
        <c:crossBetween val="midCat"/>
      </c:valAx>
      <c:valAx>
        <c:axId val="173383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3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Q-Q Plot: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_chart_data!$K$1</c:f>
              <c:strCache>
                <c:ptCount val="1"/>
                <c:pt idx="0">
                  <c:v>Observed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_chart_data!$J$2:$J$21</c:f>
              <c:numCache>
                <c:formatCode>General</c:formatCode>
                <c:ptCount val="20"/>
                <c:pt idx="0">
                  <c:v>-1.96</c:v>
                </c:pt>
                <c:pt idx="1">
                  <c:v>-1.44</c:v>
                </c:pt>
                <c:pt idx="2">
                  <c:v>-1.1499999999999999</c:v>
                </c:pt>
                <c:pt idx="3">
                  <c:v>-0.93500000000000005</c:v>
                </c:pt>
                <c:pt idx="4">
                  <c:v>-0.755</c:v>
                </c:pt>
                <c:pt idx="5">
                  <c:v>-0.59799999999999998</c:v>
                </c:pt>
                <c:pt idx="6">
                  <c:v>-0.45400000000000001</c:v>
                </c:pt>
                <c:pt idx="7">
                  <c:v>-0.31900000000000001</c:v>
                </c:pt>
                <c:pt idx="8">
                  <c:v>-0.189</c:v>
                </c:pt>
                <c:pt idx="9">
                  <c:v>-6.3E-2</c:v>
                </c:pt>
                <c:pt idx="10">
                  <c:v>6.3E-2</c:v>
                </c:pt>
                <c:pt idx="11">
                  <c:v>0.189</c:v>
                </c:pt>
                <c:pt idx="12">
                  <c:v>0.31900000000000001</c:v>
                </c:pt>
                <c:pt idx="13">
                  <c:v>0.45400000000000001</c:v>
                </c:pt>
                <c:pt idx="14">
                  <c:v>0.59799999999999998</c:v>
                </c:pt>
                <c:pt idx="15">
                  <c:v>0.755</c:v>
                </c:pt>
                <c:pt idx="16">
                  <c:v>0.93500000000000005</c:v>
                </c:pt>
                <c:pt idx="17">
                  <c:v>1.1499999999999999</c:v>
                </c:pt>
                <c:pt idx="18">
                  <c:v>1.44</c:v>
                </c:pt>
                <c:pt idx="19">
                  <c:v>1.96</c:v>
                </c:pt>
              </c:numCache>
            </c:numRef>
          </c:xVal>
          <c:yVal>
            <c:numRef>
              <c:f>_chart_data!$K$2:$K$21</c:f>
              <c:numCache>
                <c:formatCode>General</c:formatCode>
                <c:ptCount val="20"/>
                <c:pt idx="0">
                  <c:v>-1.5529999999999999</c:v>
                </c:pt>
                <c:pt idx="1">
                  <c:v>-1.45</c:v>
                </c:pt>
                <c:pt idx="2">
                  <c:v>-1.244</c:v>
                </c:pt>
                <c:pt idx="3">
                  <c:v>-1.141</c:v>
                </c:pt>
                <c:pt idx="4">
                  <c:v>-0.93600000000000005</c:v>
                </c:pt>
                <c:pt idx="5">
                  <c:v>-0.83299999999999996</c:v>
                </c:pt>
                <c:pt idx="6">
                  <c:v>-0.627</c:v>
                </c:pt>
                <c:pt idx="7">
                  <c:v>-0.52400000000000002</c:v>
                </c:pt>
                <c:pt idx="8">
                  <c:v>-0.31900000000000001</c:v>
                </c:pt>
                <c:pt idx="9">
                  <c:v>-0.216</c:v>
                </c:pt>
                <c:pt idx="10">
                  <c:v>9.2999999999999999E-2</c:v>
                </c:pt>
                <c:pt idx="11">
                  <c:v>0.29799999999999999</c:v>
                </c:pt>
                <c:pt idx="12">
                  <c:v>0.504</c:v>
                </c:pt>
                <c:pt idx="13">
                  <c:v>0.60699999999999998</c:v>
                </c:pt>
                <c:pt idx="14">
                  <c:v>0.81200000000000006</c:v>
                </c:pt>
                <c:pt idx="15">
                  <c:v>0.91500000000000004</c:v>
                </c:pt>
                <c:pt idx="16">
                  <c:v>1.121</c:v>
                </c:pt>
                <c:pt idx="17">
                  <c:v>1.3260000000000001</c:v>
                </c:pt>
                <c:pt idx="18">
                  <c:v>1.532</c:v>
                </c:pt>
                <c:pt idx="19">
                  <c:v>1.635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D-41F3-B89B-5BD58ED70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049680"/>
        <c:axId val="1342048240"/>
      </c:scatterChart>
      <c:valAx>
        <c:axId val="134204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48240"/>
        <c:crosses val="autoZero"/>
        <c:crossBetween val="midCat"/>
      </c:valAx>
      <c:valAx>
        <c:axId val="13420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4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Q-Q Plot: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_chart_data!$O$1</c:f>
              <c:strCache>
                <c:ptCount val="1"/>
                <c:pt idx="0">
                  <c:v>Observed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_chart_data!$N$2:$N$21</c:f>
              <c:numCache>
                <c:formatCode>General</c:formatCode>
                <c:ptCount val="20"/>
                <c:pt idx="0">
                  <c:v>-1.96</c:v>
                </c:pt>
                <c:pt idx="1">
                  <c:v>-1.44</c:v>
                </c:pt>
                <c:pt idx="2">
                  <c:v>-1.1499999999999999</c:v>
                </c:pt>
                <c:pt idx="3">
                  <c:v>-0.93500000000000005</c:v>
                </c:pt>
                <c:pt idx="4">
                  <c:v>-0.755</c:v>
                </c:pt>
                <c:pt idx="5">
                  <c:v>-0.59799999999999998</c:v>
                </c:pt>
                <c:pt idx="6">
                  <c:v>-0.45400000000000001</c:v>
                </c:pt>
                <c:pt idx="7">
                  <c:v>-0.31900000000000001</c:v>
                </c:pt>
                <c:pt idx="8">
                  <c:v>-0.189</c:v>
                </c:pt>
                <c:pt idx="9">
                  <c:v>-6.3E-2</c:v>
                </c:pt>
                <c:pt idx="10">
                  <c:v>6.3E-2</c:v>
                </c:pt>
                <c:pt idx="11">
                  <c:v>0.189</c:v>
                </c:pt>
                <c:pt idx="12">
                  <c:v>0.31900000000000001</c:v>
                </c:pt>
                <c:pt idx="13">
                  <c:v>0.45400000000000001</c:v>
                </c:pt>
                <c:pt idx="14">
                  <c:v>0.59799999999999998</c:v>
                </c:pt>
                <c:pt idx="15">
                  <c:v>0.755</c:v>
                </c:pt>
                <c:pt idx="16">
                  <c:v>0.93500000000000005</c:v>
                </c:pt>
                <c:pt idx="17">
                  <c:v>1.1499999999999999</c:v>
                </c:pt>
                <c:pt idx="18">
                  <c:v>1.44</c:v>
                </c:pt>
                <c:pt idx="19">
                  <c:v>1.96</c:v>
                </c:pt>
              </c:numCache>
            </c:numRef>
          </c:xVal>
          <c:yVal>
            <c:numRef>
              <c:f>_chart_data!$O$2:$O$21</c:f>
              <c:numCache>
                <c:formatCode>General</c:formatCode>
                <c:ptCount val="20"/>
                <c:pt idx="0">
                  <c:v>-1.329</c:v>
                </c:pt>
                <c:pt idx="1">
                  <c:v>-1.264</c:v>
                </c:pt>
                <c:pt idx="2">
                  <c:v>-1.198</c:v>
                </c:pt>
                <c:pt idx="3">
                  <c:v>-1.111</c:v>
                </c:pt>
                <c:pt idx="4">
                  <c:v>-0.97899999999999998</c:v>
                </c:pt>
                <c:pt idx="5">
                  <c:v>-0.84799999999999998</c:v>
                </c:pt>
                <c:pt idx="6">
                  <c:v>-0.71699999999999997</c:v>
                </c:pt>
                <c:pt idx="7">
                  <c:v>-0.60799999999999998</c:v>
                </c:pt>
                <c:pt idx="8">
                  <c:v>-0.498</c:v>
                </c:pt>
                <c:pt idx="9">
                  <c:v>-0.32400000000000001</c:v>
                </c:pt>
                <c:pt idx="10">
                  <c:v>4.0000000000000001E-3</c:v>
                </c:pt>
                <c:pt idx="11">
                  <c:v>0.245</c:v>
                </c:pt>
                <c:pt idx="12">
                  <c:v>0.42</c:v>
                </c:pt>
                <c:pt idx="13">
                  <c:v>0.59499999999999997</c:v>
                </c:pt>
                <c:pt idx="14">
                  <c:v>0.748</c:v>
                </c:pt>
                <c:pt idx="15">
                  <c:v>0.94399999999999995</c:v>
                </c:pt>
                <c:pt idx="16">
                  <c:v>1.163</c:v>
                </c:pt>
                <c:pt idx="17">
                  <c:v>1.3380000000000001</c:v>
                </c:pt>
                <c:pt idx="18">
                  <c:v>1.6</c:v>
                </c:pt>
                <c:pt idx="19">
                  <c:v>1.819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C-4072-B20D-8CEBD251A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046320"/>
        <c:axId val="1342047280"/>
      </c:scatterChart>
      <c:valAx>
        <c:axId val="134204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47280"/>
        <c:crosses val="autoZero"/>
        <c:crossBetween val="midCat"/>
      </c:valAx>
      <c:valAx>
        <c:axId val="13420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4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Distribution: Credit Score (Default vs Non-Default)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_chart_data!$B$24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_chart_data!$A$25:$A$35</c:f>
              <c:strCache>
                <c:ptCount val="11"/>
                <c:pt idx="0">
                  <c:v>575-591</c:v>
                </c:pt>
                <c:pt idx="1">
                  <c:v>591-607</c:v>
                </c:pt>
                <c:pt idx="2">
                  <c:v>607-623</c:v>
                </c:pt>
                <c:pt idx="3">
                  <c:v>623-639</c:v>
                </c:pt>
                <c:pt idx="4">
                  <c:v>639-655</c:v>
                </c:pt>
                <c:pt idx="5">
                  <c:v>655-670</c:v>
                </c:pt>
                <c:pt idx="6">
                  <c:v>670-686</c:v>
                </c:pt>
                <c:pt idx="7">
                  <c:v>686-702</c:v>
                </c:pt>
                <c:pt idx="8">
                  <c:v>702-718</c:v>
                </c:pt>
                <c:pt idx="9">
                  <c:v>718-734</c:v>
                </c:pt>
                <c:pt idx="10">
                  <c:v>734-750</c:v>
                </c:pt>
              </c:strCache>
            </c:strRef>
          </c:cat>
          <c:val>
            <c:numRef>
              <c:f>_chart_data!$B$25:$B$35</c:f>
              <c:numCache>
                <c:formatCode>General</c:formatCode>
                <c:ptCount val="11"/>
                <c:pt idx="0">
                  <c:v>21</c:v>
                </c:pt>
                <c:pt idx="1">
                  <c:v>13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A-4493-9574-6DEE50F81F00}"/>
            </c:ext>
          </c:extLst>
        </c:ser>
        <c:ser>
          <c:idx val="1"/>
          <c:order val="1"/>
          <c:tx>
            <c:strRef>
              <c:f>_chart_data!$C$24</c:f>
              <c:strCache>
                <c:ptCount val="1"/>
                <c:pt idx="0">
                  <c:v>Non-Default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_chart_data!$A$25:$A$35</c:f>
              <c:strCache>
                <c:ptCount val="11"/>
                <c:pt idx="0">
                  <c:v>575-591</c:v>
                </c:pt>
                <c:pt idx="1">
                  <c:v>591-607</c:v>
                </c:pt>
                <c:pt idx="2">
                  <c:v>607-623</c:v>
                </c:pt>
                <c:pt idx="3">
                  <c:v>623-639</c:v>
                </c:pt>
                <c:pt idx="4">
                  <c:v>639-655</c:v>
                </c:pt>
                <c:pt idx="5">
                  <c:v>655-670</c:v>
                </c:pt>
                <c:pt idx="6">
                  <c:v>670-686</c:v>
                </c:pt>
                <c:pt idx="7">
                  <c:v>686-702</c:v>
                </c:pt>
                <c:pt idx="8">
                  <c:v>702-718</c:v>
                </c:pt>
                <c:pt idx="9">
                  <c:v>718-734</c:v>
                </c:pt>
                <c:pt idx="10">
                  <c:v>734-750</c:v>
                </c:pt>
              </c:strCache>
            </c:strRef>
          </c:cat>
          <c:val>
            <c:numRef>
              <c:f>_chart_data!$C$25:$C$35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5</c:v>
                </c:pt>
                <c:pt idx="4">
                  <c:v>14</c:v>
                </c:pt>
                <c:pt idx="5">
                  <c:v>12</c:v>
                </c:pt>
                <c:pt idx="6">
                  <c:v>20</c:v>
                </c:pt>
                <c:pt idx="7">
                  <c:v>26</c:v>
                </c:pt>
                <c:pt idx="8">
                  <c:v>16</c:v>
                </c:pt>
                <c:pt idx="9">
                  <c:v>26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A-4493-9574-6DEE50F81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9303663"/>
        <c:axId val="659303183"/>
      </c:barChart>
      <c:catAx>
        <c:axId val="65930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03183"/>
        <c:crosses val="autoZero"/>
        <c:auto val="1"/>
        <c:lblAlgn val="ctr"/>
        <c:lblOffset val="100"/>
        <c:noMultiLvlLbl val="0"/>
      </c:catAx>
      <c:valAx>
        <c:axId val="65930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0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Distribution: DTI Ratio (Default vs Non-Default)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_chart_data!$F$24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_chart_data!$E$25:$E$35</c:f>
              <c:strCache>
                <c:ptCount val="11"/>
                <c:pt idx="0">
                  <c:v>0.19-0.22</c:v>
                </c:pt>
                <c:pt idx="1">
                  <c:v>0.22-0.26</c:v>
                </c:pt>
                <c:pt idx="2">
                  <c:v>0.26-0.29</c:v>
                </c:pt>
                <c:pt idx="3">
                  <c:v>0.29-0.33</c:v>
                </c:pt>
                <c:pt idx="4">
                  <c:v>0.33-0.36</c:v>
                </c:pt>
                <c:pt idx="5">
                  <c:v>0.36-0.40</c:v>
                </c:pt>
                <c:pt idx="6">
                  <c:v>0.40-0.43</c:v>
                </c:pt>
                <c:pt idx="7">
                  <c:v>0.43-0.47</c:v>
                </c:pt>
                <c:pt idx="8">
                  <c:v>0.47-0.50</c:v>
                </c:pt>
                <c:pt idx="9">
                  <c:v>0.50-0.54</c:v>
                </c:pt>
                <c:pt idx="10">
                  <c:v>0.54-0.57</c:v>
                </c:pt>
              </c:strCache>
            </c:strRef>
          </c:cat>
          <c:val>
            <c:numRef>
              <c:f>_chart_data!$F$25:$F$35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10</c:v>
                </c:pt>
                <c:pt idx="9">
                  <c:v>8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2-40E5-9E19-6D5BDFA5CD79}"/>
            </c:ext>
          </c:extLst>
        </c:ser>
        <c:ser>
          <c:idx val="1"/>
          <c:order val="1"/>
          <c:tx>
            <c:strRef>
              <c:f>_chart_data!$G$24</c:f>
              <c:strCache>
                <c:ptCount val="1"/>
                <c:pt idx="0">
                  <c:v>Non-Default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_chart_data!$E$25:$E$35</c:f>
              <c:strCache>
                <c:ptCount val="11"/>
                <c:pt idx="0">
                  <c:v>0.19-0.22</c:v>
                </c:pt>
                <c:pt idx="1">
                  <c:v>0.22-0.26</c:v>
                </c:pt>
                <c:pt idx="2">
                  <c:v>0.26-0.29</c:v>
                </c:pt>
                <c:pt idx="3">
                  <c:v>0.29-0.33</c:v>
                </c:pt>
                <c:pt idx="4">
                  <c:v>0.33-0.36</c:v>
                </c:pt>
                <c:pt idx="5">
                  <c:v>0.36-0.40</c:v>
                </c:pt>
                <c:pt idx="6">
                  <c:v>0.40-0.43</c:v>
                </c:pt>
                <c:pt idx="7">
                  <c:v>0.43-0.47</c:v>
                </c:pt>
                <c:pt idx="8">
                  <c:v>0.47-0.50</c:v>
                </c:pt>
                <c:pt idx="9">
                  <c:v>0.50-0.54</c:v>
                </c:pt>
                <c:pt idx="10">
                  <c:v>0.54-0.57</c:v>
                </c:pt>
              </c:strCache>
            </c:strRef>
          </c:cat>
          <c:val>
            <c:numRef>
              <c:f>_chart_data!$G$25:$G$35</c:f>
              <c:numCache>
                <c:formatCode>General</c:formatCode>
                <c:ptCount val="11"/>
                <c:pt idx="0">
                  <c:v>20</c:v>
                </c:pt>
                <c:pt idx="1">
                  <c:v>16</c:v>
                </c:pt>
                <c:pt idx="2">
                  <c:v>37</c:v>
                </c:pt>
                <c:pt idx="3">
                  <c:v>19</c:v>
                </c:pt>
                <c:pt idx="4">
                  <c:v>23</c:v>
                </c:pt>
                <c:pt idx="5">
                  <c:v>20</c:v>
                </c:pt>
                <c:pt idx="6">
                  <c:v>11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2-40E5-9E19-6D5BDFA5C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7214496"/>
        <c:axId val="1347213536"/>
      </c:barChart>
      <c:catAx>
        <c:axId val="13472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13536"/>
        <c:crosses val="autoZero"/>
        <c:auto val="1"/>
        <c:lblAlgn val="ctr"/>
        <c:lblOffset val="100"/>
        <c:noMultiLvlLbl val="0"/>
      </c:catAx>
      <c:valAx>
        <c:axId val="134721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Distribution: Age (Default vs Non-Default)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_chart_data!$J$24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_chart_data!$I$25:$I$35</c:f>
              <c:strCache>
                <c:ptCount val="11"/>
                <c:pt idx="0">
                  <c:v>22-25</c:v>
                </c:pt>
                <c:pt idx="1">
                  <c:v>25-28</c:v>
                </c:pt>
                <c:pt idx="2">
                  <c:v>28-30</c:v>
                </c:pt>
                <c:pt idx="3">
                  <c:v>30-33</c:v>
                </c:pt>
                <c:pt idx="4">
                  <c:v>33-36</c:v>
                </c:pt>
                <c:pt idx="5">
                  <c:v>36-39</c:v>
                </c:pt>
                <c:pt idx="6">
                  <c:v>39-42</c:v>
                </c:pt>
                <c:pt idx="7">
                  <c:v>42-45</c:v>
                </c:pt>
                <c:pt idx="8">
                  <c:v>45-47</c:v>
                </c:pt>
                <c:pt idx="9">
                  <c:v>47-50</c:v>
                </c:pt>
                <c:pt idx="10">
                  <c:v>50-53</c:v>
                </c:pt>
              </c:strCache>
            </c:strRef>
          </c:cat>
          <c:val>
            <c:numRef>
              <c:f>_chart_data!$J$25:$J$35</c:f>
              <c:numCache>
                <c:formatCode>General</c:formatCode>
                <c:ptCount val="11"/>
                <c:pt idx="0">
                  <c:v>18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8-4885-9ACB-FBAE9921D665}"/>
            </c:ext>
          </c:extLst>
        </c:ser>
        <c:ser>
          <c:idx val="1"/>
          <c:order val="1"/>
          <c:tx>
            <c:strRef>
              <c:f>_chart_data!$K$24</c:f>
              <c:strCache>
                <c:ptCount val="1"/>
                <c:pt idx="0">
                  <c:v>Non-Default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_chart_data!$I$25:$I$35</c:f>
              <c:strCache>
                <c:ptCount val="11"/>
                <c:pt idx="0">
                  <c:v>22-25</c:v>
                </c:pt>
                <c:pt idx="1">
                  <c:v>25-28</c:v>
                </c:pt>
                <c:pt idx="2">
                  <c:v>28-30</c:v>
                </c:pt>
                <c:pt idx="3">
                  <c:v>30-33</c:v>
                </c:pt>
                <c:pt idx="4">
                  <c:v>33-36</c:v>
                </c:pt>
                <c:pt idx="5">
                  <c:v>36-39</c:v>
                </c:pt>
                <c:pt idx="6">
                  <c:v>39-42</c:v>
                </c:pt>
                <c:pt idx="7">
                  <c:v>42-45</c:v>
                </c:pt>
                <c:pt idx="8">
                  <c:v>45-47</c:v>
                </c:pt>
                <c:pt idx="9">
                  <c:v>47-50</c:v>
                </c:pt>
                <c:pt idx="10">
                  <c:v>50-53</c:v>
                </c:pt>
              </c:strCache>
            </c:strRef>
          </c:cat>
          <c:val>
            <c:numRef>
              <c:f>_chart_data!$K$25:$K$35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7</c:v>
                </c:pt>
                <c:pt idx="6">
                  <c:v>17</c:v>
                </c:pt>
                <c:pt idx="7">
                  <c:v>18</c:v>
                </c:pt>
                <c:pt idx="8">
                  <c:v>17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8-4885-9ACB-FBAE9921D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3042480"/>
        <c:axId val="1753039120"/>
      </c:barChart>
      <c:catAx>
        <c:axId val="175304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039120"/>
        <c:crosses val="autoZero"/>
        <c:auto val="1"/>
        <c:lblAlgn val="ctr"/>
        <c:lblOffset val="100"/>
        <c:noMultiLvlLbl val="0"/>
      </c:catAx>
      <c:valAx>
        <c:axId val="17530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04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Distribution: Income (Default vs Non-Default)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_chart_data!$N$24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_chart_data!$M$25:$M$35</c:f>
              <c:strCache>
                <c:ptCount val="11"/>
                <c:pt idx="0">
                  <c:v>27K-34K</c:v>
                </c:pt>
                <c:pt idx="1">
                  <c:v>34K-40K</c:v>
                </c:pt>
                <c:pt idx="2">
                  <c:v>40K-47K</c:v>
                </c:pt>
                <c:pt idx="3">
                  <c:v>47K-53K</c:v>
                </c:pt>
                <c:pt idx="4">
                  <c:v>53K-60K</c:v>
                </c:pt>
                <c:pt idx="5">
                  <c:v>60K-66K</c:v>
                </c:pt>
                <c:pt idx="6">
                  <c:v>66K-73K</c:v>
                </c:pt>
                <c:pt idx="7">
                  <c:v>73K-79K</c:v>
                </c:pt>
                <c:pt idx="8">
                  <c:v>79K-86K</c:v>
                </c:pt>
                <c:pt idx="9">
                  <c:v>86K-92K</c:v>
                </c:pt>
                <c:pt idx="10">
                  <c:v>92K-99K</c:v>
                </c:pt>
              </c:strCache>
            </c:strRef>
          </c:cat>
          <c:val>
            <c:numRef>
              <c:f>_chart_data!$N$25:$N$35</c:f>
              <c:numCache>
                <c:formatCode>General</c:formatCode>
                <c:ptCount val="11"/>
                <c:pt idx="0">
                  <c:v>34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4-45CD-BC98-C420147E26B5}"/>
            </c:ext>
          </c:extLst>
        </c:ser>
        <c:ser>
          <c:idx val="1"/>
          <c:order val="1"/>
          <c:tx>
            <c:strRef>
              <c:f>_chart_data!$O$24</c:f>
              <c:strCache>
                <c:ptCount val="1"/>
                <c:pt idx="0">
                  <c:v>Non-Default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_chart_data!$M$25:$M$35</c:f>
              <c:strCache>
                <c:ptCount val="11"/>
                <c:pt idx="0">
                  <c:v>27K-34K</c:v>
                </c:pt>
                <c:pt idx="1">
                  <c:v>34K-40K</c:v>
                </c:pt>
                <c:pt idx="2">
                  <c:v>40K-47K</c:v>
                </c:pt>
                <c:pt idx="3">
                  <c:v>47K-53K</c:v>
                </c:pt>
                <c:pt idx="4">
                  <c:v>53K-60K</c:v>
                </c:pt>
                <c:pt idx="5">
                  <c:v>60K-66K</c:v>
                </c:pt>
                <c:pt idx="6">
                  <c:v>66K-73K</c:v>
                </c:pt>
                <c:pt idx="7">
                  <c:v>73K-79K</c:v>
                </c:pt>
                <c:pt idx="8">
                  <c:v>79K-86K</c:v>
                </c:pt>
                <c:pt idx="9">
                  <c:v>86K-92K</c:v>
                </c:pt>
                <c:pt idx="10">
                  <c:v>92K-99K</c:v>
                </c:pt>
              </c:strCache>
            </c:strRef>
          </c:cat>
          <c:val>
            <c:numRef>
              <c:f>_chart_data!$O$25:$O$35</c:f>
              <c:numCache>
                <c:formatCode>General</c:formatCode>
                <c:ptCount val="11"/>
                <c:pt idx="0">
                  <c:v>1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7</c:v>
                </c:pt>
                <c:pt idx="5">
                  <c:v>14</c:v>
                </c:pt>
                <c:pt idx="6">
                  <c:v>17</c:v>
                </c:pt>
                <c:pt idx="7">
                  <c:v>15</c:v>
                </c:pt>
                <c:pt idx="8">
                  <c:v>13</c:v>
                </c:pt>
                <c:pt idx="9">
                  <c:v>14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4-45CD-BC98-C420147E2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2854144"/>
        <c:axId val="1752850784"/>
      </c:barChart>
      <c:catAx>
        <c:axId val="175285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50784"/>
        <c:crosses val="autoZero"/>
        <c:auto val="1"/>
        <c:lblAlgn val="ctr"/>
        <c:lblOffset val="100"/>
        <c:noMultiLvlLbl val="0"/>
      </c:catAx>
      <c:valAx>
        <c:axId val="17528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5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111</xdr:row>
      <xdr:rowOff>0</xdr:rowOff>
    </xdr:from>
    <xdr:to>
      <xdr:col>3</xdr:col>
      <xdr:colOff>123825</xdr:colOff>
      <xdr:row>125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6F314C-6D14-0B9B-D323-B9F8E80DB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111</xdr:row>
      <xdr:rowOff>0</xdr:rowOff>
    </xdr:from>
    <xdr:to>
      <xdr:col>7</xdr:col>
      <xdr:colOff>371475</xdr:colOff>
      <xdr:row>125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B45D5A-899B-1F3F-1B6F-75EE96939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3</xdr:col>
      <xdr:colOff>123825</xdr:colOff>
      <xdr:row>141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4D8F59-14A0-90F8-FF08-2D1402DDB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127</xdr:row>
      <xdr:rowOff>0</xdr:rowOff>
    </xdr:from>
    <xdr:to>
      <xdr:col>7</xdr:col>
      <xdr:colOff>371475</xdr:colOff>
      <xdr:row>141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803229C-E2B8-1692-C767-21E4811AB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143</xdr:row>
      <xdr:rowOff>0</xdr:rowOff>
    </xdr:from>
    <xdr:to>
      <xdr:col>3</xdr:col>
      <xdr:colOff>123825</xdr:colOff>
      <xdr:row>157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F08B54C-692E-F9B0-484E-A07A1F246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143</xdr:row>
      <xdr:rowOff>0</xdr:rowOff>
    </xdr:from>
    <xdr:to>
      <xdr:col>7</xdr:col>
      <xdr:colOff>371475</xdr:colOff>
      <xdr:row>157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B9E37E1-B568-3755-E5EC-7EEE78B4F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119</xdr:row>
      <xdr:rowOff>0</xdr:rowOff>
    </xdr:from>
    <xdr:to>
      <xdr:col>3</xdr:col>
      <xdr:colOff>66675</xdr:colOff>
      <xdr:row>133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9BF35C-D662-BD5A-CEEF-63E81016A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119</xdr:row>
      <xdr:rowOff>0</xdr:rowOff>
    </xdr:from>
    <xdr:to>
      <xdr:col>7</xdr:col>
      <xdr:colOff>571500</xdr:colOff>
      <xdr:row>133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E103B4B-2534-D406-DB38-A5E381FF7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135</xdr:row>
      <xdr:rowOff>0</xdr:rowOff>
    </xdr:from>
    <xdr:to>
      <xdr:col>3</xdr:col>
      <xdr:colOff>66675</xdr:colOff>
      <xdr:row>149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0EC9378-E2E3-54E2-527C-2D40F41FF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135</xdr:row>
      <xdr:rowOff>0</xdr:rowOff>
    </xdr:from>
    <xdr:to>
      <xdr:col>7</xdr:col>
      <xdr:colOff>571500</xdr:colOff>
      <xdr:row>149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8F5E34C-EB01-B5C9-DC4E-B577F53E0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3</xdr:col>
      <xdr:colOff>66675</xdr:colOff>
      <xdr:row>165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72E0831-15C2-622E-8E9C-871FAA59A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151</xdr:row>
      <xdr:rowOff>0</xdr:rowOff>
    </xdr:from>
    <xdr:to>
      <xdr:col>7</xdr:col>
      <xdr:colOff>571500</xdr:colOff>
      <xdr:row>165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80345AF-A8A7-B123-6260-4FE8E27C5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167</xdr:row>
      <xdr:rowOff>0</xdr:rowOff>
    </xdr:from>
    <xdr:to>
      <xdr:col>3</xdr:col>
      <xdr:colOff>66675</xdr:colOff>
      <xdr:row>181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F4E516-06B1-13A8-C25F-D826D2E5E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167</xdr:row>
      <xdr:rowOff>0</xdr:rowOff>
    </xdr:from>
    <xdr:to>
      <xdr:col>7</xdr:col>
      <xdr:colOff>571500</xdr:colOff>
      <xdr:row>181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E06582-7260-E49E-10A1-DF688B08A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DB4B41-23DA-45C2-8D77-586C6A7DF555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6385-9E8D-40A5-A2E3-53FBC5F7F4B7}">
  <dimension ref="A1:I189"/>
  <sheetViews>
    <sheetView workbookViewId="0">
      <selection activeCell="F2" sqref="F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34</v>
      </c>
      <c r="B2">
        <v>45000</v>
      </c>
      <c r="C2">
        <v>15000</v>
      </c>
      <c r="D2">
        <v>680</v>
      </c>
      <c r="E2">
        <v>5</v>
      </c>
      <c r="F2">
        <v>0.35</v>
      </c>
      <c r="G2">
        <v>0</v>
      </c>
      <c r="H2" t="s">
        <v>9</v>
      </c>
      <c r="I2">
        <v>0</v>
      </c>
    </row>
    <row r="3" spans="1:9" x14ac:dyDescent="0.25">
      <c r="A3">
        <v>28</v>
      </c>
      <c r="B3">
        <v>32000</v>
      </c>
      <c r="C3">
        <v>8000</v>
      </c>
      <c r="D3">
        <v>620</v>
      </c>
      <c r="E3">
        <v>2</v>
      </c>
      <c r="F3">
        <v>0.42</v>
      </c>
      <c r="G3">
        <v>0</v>
      </c>
      <c r="H3" t="s">
        <v>10</v>
      </c>
      <c r="I3">
        <v>0</v>
      </c>
    </row>
    <row r="4" spans="1:9" x14ac:dyDescent="0.25">
      <c r="A4">
        <v>45</v>
      </c>
      <c r="B4">
        <v>78000</v>
      </c>
      <c r="C4">
        <v>25000</v>
      </c>
      <c r="D4">
        <v>720</v>
      </c>
      <c r="E4">
        <v>12</v>
      </c>
      <c r="F4">
        <v>0.28000000000000003</v>
      </c>
      <c r="G4">
        <v>0</v>
      </c>
      <c r="H4" t="s">
        <v>11</v>
      </c>
      <c r="I4">
        <v>0</v>
      </c>
    </row>
    <row r="5" spans="1:9" x14ac:dyDescent="0.25">
      <c r="A5">
        <v>23</v>
      </c>
      <c r="B5">
        <v>28000</v>
      </c>
      <c r="C5">
        <v>12000</v>
      </c>
      <c r="D5">
        <v>580</v>
      </c>
      <c r="E5">
        <v>1</v>
      </c>
      <c r="F5">
        <v>0.55000000000000004</v>
      </c>
      <c r="G5">
        <v>1</v>
      </c>
      <c r="H5" t="s">
        <v>12</v>
      </c>
      <c r="I5">
        <v>1</v>
      </c>
    </row>
    <row r="6" spans="1:9" x14ac:dyDescent="0.25">
      <c r="A6">
        <v>52</v>
      </c>
      <c r="B6">
        <v>95000</v>
      </c>
      <c r="C6">
        <v>30000</v>
      </c>
      <c r="D6">
        <v>750</v>
      </c>
      <c r="E6">
        <v>18</v>
      </c>
      <c r="F6">
        <v>0.22</v>
      </c>
      <c r="G6">
        <v>0</v>
      </c>
      <c r="H6" t="s">
        <v>9</v>
      </c>
      <c r="I6">
        <v>0</v>
      </c>
    </row>
    <row r="7" spans="1:9" x14ac:dyDescent="0.25">
      <c r="A7">
        <v>31</v>
      </c>
      <c r="B7">
        <v>41000</v>
      </c>
      <c r="C7">
        <v>10000</v>
      </c>
      <c r="D7">
        <v>640</v>
      </c>
      <c r="E7">
        <v>4</v>
      </c>
      <c r="F7">
        <v>0.38</v>
      </c>
      <c r="G7">
        <v>0</v>
      </c>
      <c r="H7" t="s">
        <v>13</v>
      </c>
      <c r="I7">
        <v>0</v>
      </c>
    </row>
    <row r="8" spans="1:9" x14ac:dyDescent="0.25">
      <c r="A8">
        <v>39</v>
      </c>
      <c r="B8">
        <v>58000</v>
      </c>
      <c r="C8">
        <v>18000</v>
      </c>
      <c r="D8">
        <v>690</v>
      </c>
      <c r="E8">
        <v>8</v>
      </c>
      <c r="F8">
        <v>0.31</v>
      </c>
      <c r="G8">
        <v>0</v>
      </c>
      <c r="H8" t="s">
        <v>11</v>
      </c>
      <c r="I8">
        <v>0</v>
      </c>
    </row>
    <row r="9" spans="1:9" x14ac:dyDescent="0.25">
      <c r="A9">
        <v>26</v>
      </c>
      <c r="B9">
        <v>35000</v>
      </c>
      <c r="C9">
        <v>15000</v>
      </c>
      <c r="D9">
        <v>600</v>
      </c>
      <c r="E9">
        <v>2</v>
      </c>
      <c r="F9">
        <v>0.48</v>
      </c>
      <c r="G9">
        <v>0</v>
      </c>
      <c r="H9" t="s">
        <v>10</v>
      </c>
      <c r="I9">
        <v>1</v>
      </c>
    </row>
    <row r="10" spans="1:9" x14ac:dyDescent="0.25">
      <c r="A10">
        <v>48</v>
      </c>
      <c r="B10">
        <v>82000</v>
      </c>
      <c r="C10">
        <v>22000</v>
      </c>
      <c r="D10">
        <v>710</v>
      </c>
      <c r="E10">
        <v>15</v>
      </c>
      <c r="F10">
        <v>0.26</v>
      </c>
      <c r="G10">
        <v>0</v>
      </c>
      <c r="H10" t="s">
        <v>9</v>
      </c>
      <c r="I10">
        <v>0</v>
      </c>
    </row>
    <row r="11" spans="1:9" x14ac:dyDescent="0.25">
      <c r="A11">
        <v>29</v>
      </c>
      <c r="B11">
        <v>38000</v>
      </c>
      <c r="C11">
        <v>9000</v>
      </c>
      <c r="D11">
        <v>650</v>
      </c>
      <c r="E11">
        <v>3</v>
      </c>
      <c r="F11">
        <v>0.36</v>
      </c>
      <c r="G11">
        <v>0</v>
      </c>
      <c r="H11" t="s">
        <v>12</v>
      </c>
      <c r="I11">
        <v>0</v>
      </c>
    </row>
    <row r="12" spans="1:9" x14ac:dyDescent="0.25">
      <c r="A12">
        <v>42</v>
      </c>
      <c r="B12">
        <v>68000</v>
      </c>
      <c r="C12">
        <v>20000</v>
      </c>
      <c r="D12">
        <v>700</v>
      </c>
      <c r="E12">
        <v>10</v>
      </c>
      <c r="F12">
        <v>0.28999999999999998</v>
      </c>
      <c r="G12">
        <v>0</v>
      </c>
      <c r="H12" t="s">
        <v>11</v>
      </c>
      <c r="I12">
        <v>0</v>
      </c>
    </row>
    <row r="13" spans="1:9" x14ac:dyDescent="0.25">
      <c r="A13">
        <v>25</v>
      </c>
      <c r="B13">
        <v>30000</v>
      </c>
      <c r="C13">
        <v>11000</v>
      </c>
      <c r="D13">
        <v>590</v>
      </c>
      <c r="E13">
        <v>1</v>
      </c>
      <c r="F13">
        <v>0.51</v>
      </c>
      <c r="G13">
        <v>1</v>
      </c>
      <c r="H13" t="s">
        <v>12</v>
      </c>
      <c r="I13">
        <v>1</v>
      </c>
    </row>
    <row r="14" spans="1:9" x14ac:dyDescent="0.25">
      <c r="A14">
        <v>37</v>
      </c>
      <c r="B14">
        <v>52000</v>
      </c>
      <c r="C14">
        <v>16000</v>
      </c>
      <c r="D14">
        <v>670</v>
      </c>
      <c r="E14">
        <v>6</v>
      </c>
      <c r="F14">
        <v>0.33</v>
      </c>
      <c r="G14">
        <v>0</v>
      </c>
      <c r="H14" t="s">
        <v>13</v>
      </c>
      <c r="I14">
        <v>0</v>
      </c>
    </row>
    <row r="15" spans="1:9" x14ac:dyDescent="0.25">
      <c r="A15">
        <v>50</v>
      </c>
      <c r="B15">
        <v>88000</v>
      </c>
      <c r="C15">
        <v>28000</v>
      </c>
      <c r="D15">
        <v>730</v>
      </c>
      <c r="E15">
        <v>16</v>
      </c>
      <c r="F15">
        <v>0.24</v>
      </c>
      <c r="G15">
        <v>0</v>
      </c>
      <c r="H15" t="s">
        <v>9</v>
      </c>
      <c r="I15">
        <v>0</v>
      </c>
    </row>
    <row r="16" spans="1:9" x14ac:dyDescent="0.25">
      <c r="A16">
        <v>27</v>
      </c>
      <c r="B16">
        <v>33000</v>
      </c>
      <c r="C16">
        <v>13000</v>
      </c>
      <c r="D16">
        <v>610</v>
      </c>
      <c r="E16">
        <v>2</v>
      </c>
      <c r="F16">
        <v>0.45</v>
      </c>
      <c r="G16">
        <v>0</v>
      </c>
      <c r="H16" t="s">
        <v>10</v>
      </c>
      <c r="I16">
        <v>1</v>
      </c>
    </row>
    <row r="17" spans="1:9" x14ac:dyDescent="0.25">
      <c r="A17">
        <v>44</v>
      </c>
      <c r="B17">
        <v>72000</v>
      </c>
      <c r="C17">
        <v>24000</v>
      </c>
      <c r="D17">
        <v>715</v>
      </c>
      <c r="E17">
        <v>13</v>
      </c>
      <c r="F17">
        <v>0.27</v>
      </c>
      <c r="G17">
        <v>0</v>
      </c>
      <c r="H17" t="s">
        <v>11</v>
      </c>
      <c r="I17">
        <v>0</v>
      </c>
    </row>
    <row r="18" spans="1:9" x14ac:dyDescent="0.25">
      <c r="A18">
        <v>32</v>
      </c>
      <c r="B18">
        <v>43000</v>
      </c>
      <c r="C18">
        <v>14000</v>
      </c>
      <c r="D18">
        <v>660</v>
      </c>
      <c r="E18">
        <v>5</v>
      </c>
      <c r="F18">
        <v>0.37</v>
      </c>
      <c r="G18">
        <v>0</v>
      </c>
      <c r="H18" t="s">
        <v>9</v>
      </c>
      <c r="I18">
        <v>0</v>
      </c>
    </row>
    <row r="19" spans="1:9" x14ac:dyDescent="0.25">
      <c r="A19">
        <v>24</v>
      </c>
      <c r="B19">
        <v>29000</v>
      </c>
      <c r="C19">
        <v>10000</v>
      </c>
      <c r="D19">
        <v>585</v>
      </c>
      <c r="E19">
        <v>1</v>
      </c>
      <c r="F19">
        <v>0.53</v>
      </c>
      <c r="G19">
        <v>1</v>
      </c>
      <c r="H19" t="s">
        <v>12</v>
      </c>
      <c r="I19">
        <v>1</v>
      </c>
    </row>
    <row r="20" spans="1:9" x14ac:dyDescent="0.25">
      <c r="A20">
        <v>46</v>
      </c>
      <c r="B20">
        <v>76000</v>
      </c>
      <c r="C20">
        <v>26000</v>
      </c>
      <c r="D20">
        <v>725</v>
      </c>
      <c r="E20">
        <v>14</v>
      </c>
      <c r="F20">
        <v>0.25</v>
      </c>
      <c r="G20">
        <v>0</v>
      </c>
      <c r="H20" t="s">
        <v>11</v>
      </c>
      <c r="I20">
        <v>0</v>
      </c>
    </row>
    <row r="21" spans="1:9" x14ac:dyDescent="0.25">
      <c r="A21">
        <v>30</v>
      </c>
      <c r="B21">
        <v>40000</v>
      </c>
      <c r="C21">
        <v>12000</v>
      </c>
      <c r="D21">
        <v>645</v>
      </c>
      <c r="E21">
        <v>4</v>
      </c>
      <c r="F21">
        <v>0.39</v>
      </c>
      <c r="G21">
        <v>0</v>
      </c>
      <c r="H21" t="s">
        <v>13</v>
      </c>
      <c r="I21">
        <v>0</v>
      </c>
    </row>
    <row r="22" spans="1:9" x14ac:dyDescent="0.25">
      <c r="A22">
        <v>41</v>
      </c>
      <c r="B22">
        <v>65000</v>
      </c>
      <c r="C22">
        <v>19000</v>
      </c>
      <c r="D22">
        <v>695</v>
      </c>
      <c r="E22">
        <v>9</v>
      </c>
      <c r="F22">
        <v>0.3</v>
      </c>
      <c r="G22">
        <v>0</v>
      </c>
      <c r="H22" t="s">
        <v>9</v>
      </c>
      <c r="I22">
        <v>0</v>
      </c>
    </row>
    <row r="23" spans="1:9" x14ac:dyDescent="0.25">
      <c r="A23">
        <v>28</v>
      </c>
      <c r="B23">
        <v>36000</v>
      </c>
      <c r="C23">
        <v>8500</v>
      </c>
      <c r="D23">
        <v>615</v>
      </c>
      <c r="E23">
        <v>2</v>
      </c>
      <c r="F23">
        <v>0.43</v>
      </c>
      <c r="G23">
        <v>0</v>
      </c>
      <c r="H23" t="s">
        <v>10</v>
      </c>
      <c r="I23">
        <v>0</v>
      </c>
    </row>
    <row r="24" spans="1:9" x14ac:dyDescent="0.25">
      <c r="A24">
        <v>49</v>
      </c>
      <c r="B24">
        <v>85000</v>
      </c>
      <c r="C24">
        <v>27000</v>
      </c>
      <c r="D24">
        <v>735</v>
      </c>
      <c r="E24">
        <v>17</v>
      </c>
      <c r="F24">
        <v>0.23</v>
      </c>
      <c r="G24">
        <v>0</v>
      </c>
      <c r="H24" t="s">
        <v>11</v>
      </c>
      <c r="I24">
        <v>0</v>
      </c>
    </row>
    <row r="25" spans="1:9" x14ac:dyDescent="0.25">
      <c r="A25">
        <v>26</v>
      </c>
      <c r="B25">
        <v>31000</v>
      </c>
      <c r="C25">
        <v>11500</v>
      </c>
      <c r="D25">
        <v>595</v>
      </c>
      <c r="E25">
        <v>2</v>
      </c>
      <c r="F25">
        <v>0.49</v>
      </c>
      <c r="G25">
        <v>1</v>
      </c>
      <c r="H25" t="s">
        <v>12</v>
      </c>
      <c r="I25">
        <v>1</v>
      </c>
    </row>
    <row r="26" spans="1:9" x14ac:dyDescent="0.25">
      <c r="A26">
        <v>38</v>
      </c>
      <c r="B26">
        <v>56000</v>
      </c>
      <c r="C26">
        <v>17000</v>
      </c>
      <c r="D26">
        <v>685</v>
      </c>
      <c r="E26">
        <v>7</v>
      </c>
      <c r="F26">
        <v>0.32</v>
      </c>
      <c r="G26">
        <v>0</v>
      </c>
      <c r="H26" t="s">
        <v>13</v>
      </c>
      <c r="I26">
        <v>0</v>
      </c>
    </row>
    <row r="27" spans="1:9" x14ac:dyDescent="0.25">
      <c r="A27">
        <v>51</v>
      </c>
      <c r="B27">
        <v>92000</v>
      </c>
      <c r="C27">
        <v>29000</v>
      </c>
      <c r="D27">
        <v>740</v>
      </c>
      <c r="E27">
        <v>19</v>
      </c>
      <c r="F27">
        <v>0.21</v>
      </c>
      <c r="G27">
        <v>0</v>
      </c>
      <c r="H27" t="s">
        <v>9</v>
      </c>
      <c r="I27">
        <v>0</v>
      </c>
    </row>
    <row r="28" spans="1:9" x14ac:dyDescent="0.25">
      <c r="A28">
        <v>33</v>
      </c>
      <c r="B28">
        <v>44000</v>
      </c>
      <c r="C28">
        <v>13500</v>
      </c>
      <c r="D28">
        <v>655</v>
      </c>
      <c r="E28">
        <v>5</v>
      </c>
      <c r="F28">
        <v>0.38</v>
      </c>
      <c r="G28">
        <v>0</v>
      </c>
      <c r="H28" t="s">
        <v>10</v>
      </c>
      <c r="I28">
        <v>0</v>
      </c>
    </row>
    <row r="29" spans="1:9" x14ac:dyDescent="0.25">
      <c r="A29">
        <v>22</v>
      </c>
      <c r="B29">
        <v>27000</v>
      </c>
      <c r="C29">
        <v>9500</v>
      </c>
      <c r="D29">
        <v>575</v>
      </c>
      <c r="E29">
        <v>1</v>
      </c>
      <c r="F29">
        <v>0.56000000000000005</v>
      </c>
      <c r="G29">
        <v>1</v>
      </c>
      <c r="H29" t="s">
        <v>12</v>
      </c>
      <c r="I29">
        <v>1</v>
      </c>
    </row>
    <row r="30" spans="1:9" x14ac:dyDescent="0.25">
      <c r="A30">
        <v>47</v>
      </c>
      <c r="B30">
        <v>80000</v>
      </c>
      <c r="C30">
        <v>23000</v>
      </c>
      <c r="D30">
        <v>720</v>
      </c>
      <c r="E30">
        <v>15</v>
      </c>
      <c r="F30">
        <v>0.26</v>
      </c>
      <c r="G30">
        <v>0</v>
      </c>
      <c r="H30" t="s">
        <v>11</v>
      </c>
      <c r="I30">
        <v>0</v>
      </c>
    </row>
    <row r="31" spans="1:9" x14ac:dyDescent="0.25">
      <c r="A31">
        <v>35</v>
      </c>
      <c r="B31">
        <v>48000</v>
      </c>
      <c r="C31">
        <v>15500</v>
      </c>
      <c r="D31">
        <v>675</v>
      </c>
      <c r="E31">
        <v>6</v>
      </c>
      <c r="F31">
        <v>0.34</v>
      </c>
      <c r="G31">
        <v>0</v>
      </c>
      <c r="H31" t="s">
        <v>9</v>
      </c>
      <c r="I31">
        <v>0</v>
      </c>
    </row>
    <row r="32" spans="1:9" x14ac:dyDescent="0.25">
      <c r="A32">
        <v>43</v>
      </c>
      <c r="B32">
        <v>70000</v>
      </c>
      <c r="C32">
        <v>21000</v>
      </c>
      <c r="D32">
        <v>705</v>
      </c>
      <c r="E32">
        <v>11</v>
      </c>
      <c r="F32">
        <v>0.28000000000000003</v>
      </c>
      <c r="G32">
        <v>0</v>
      </c>
      <c r="H32" t="s">
        <v>11</v>
      </c>
      <c r="I32">
        <v>0</v>
      </c>
    </row>
    <row r="33" spans="1:9" x14ac:dyDescent="0.25">
      <c r="A33">
        <v>29</v>
      </c>
      <c r="B33">
        <v>37000</v>
      </c>
      <c r="C33">
        <v>10500</v>
      </c>
      <c r="D33">
        <v>630</v>
      </c>
      <c r="E33">
        <v>3</v>
      </c>
      <c r="F33">
        <v>0.41</v>
      </c>
      <c r="G33">
        <v>0</v>
      </c>
      <c r="H33" t="s">
        <v>13</v>
      </c>
      <c r="I33">
        <v>0</v>
      </c>
    </row>
    <row r="34" spans="1:9" x14ac:dyDescent="0.25">
      <c r="A34">
        <v>53</v>
      </c>
      <c r="B34">
        <v>96000</v>
      </c>
      <c r="C34">
        <v>31000</v>
      </c>
      <c r="D34">
        <v>745</v>
      </c>
      <c r="E34">
        <v>20</v>
      </c>
      <c r="F34">
        <v>0.2</v>
      </c>
      <c r="G34">
        <v>0</v>
      </c>
      <c r="H34" t="s">
        <v>9</v>
      </c>
      <c r="I34">
        <v>0</v>
      </c>
    </row>
    <row r="35" spans="1:9" x14ac:dyDescent="0.25">
      <c r="A35">
        <v>27</v>
      </c>
      <c r="B35">
        <v>34000</v>
      </c>
      <c r="C35">
        <v>12500</v>
      </c>
      <c r="D35">
        <v>605</v>
      </c>
      <c r="E35">
        <v>2</v>
      </c>
      <c r="F35">
        <v>0.46</v>
      </c>
      <c r="G35">
        <v>0</v>
      </c>
      <c r="H35" t="s">
        <v>10</v>
      </c>
      <c r="I35">
        <v>1</v>
      </c>
    </row>
    <row r="36" spans="1:9" x14ac:dyDescent="0.25">
      <c r="A36">
        <v>40</v>
      </c>
      <c r="B36">
        <v>62000</v>
      </c>
      <c r="C36">
        <v>18500</v>
      </c>
      <c r="D36">
        <v>692</v>
      </c>
      <c r="E36">
        <v>9</v>
      </c>
      <c r="F36">
        <v>0.31</v>
      </c>
      <c r="G36">
        <v>0</v>
      </c>
      <c r="H36" t="s">
        <v>11</v>
      </c>
      <c r="I36">
        <v>0</v>
      </c>
    </row>
    <row r="37" spans="1:9" x14ac:dyDescent="0.25">
      <c r="A37">
        <v>25</v>
      </c>
      <c r="B37">
        <v>30500</v>
      </c>
      <c r="C37">
        <v>10500</v>
      </c>
      <c r="D37">
        <v>588</v>
      </c>
      <c r="E37">
        <v>1</v>
      </c>
      <c r="F37">
        <v>0.52</v>
      </c>
      <c r="G37">
        <v>1</v>
      </c>
      <c r="H37" t="s">
        <v>12</v>
      </c>
      <c r="I37">
        <v>1</v>
      </c>
    </row>
    <row r="38" spans="1:9" x14ac:dyDescent="0.25">
      <c r="A38">
        <v>36</v>
      </c>
      <c r="B38">
        <v>50000</v>
      </c>
      <c r="C38">
        <v>16500</v>
      </c>
      <c r="D38">
        <v>680</v>
      </c>
      <c r="E38">
        <v>6</v>
      </c>
      <c r="F38">
        <v>0.33</v>
      </c>
      <c r="G38">
        <v>0</v>
      </c>
      <c r="H38" t="s">
        <v>13</v>
      </c>
      <c r="I38">
        <v>0</v>
      </c>
    </row>
    <row r="39" spans="1:9" x14ac:dyDescent="0.25">
      <c r="A39">
        <v>45</v>
      </c>
      <c r="B39">
        <v>74000</v>
      </c>
      <c r="C39">
        <v>25500</v>
      </c>
      <c r="D39">
        <v>718</v>
      </c>
      <c r="E39">
        <v>13</v>
      </c>
      <c r="F39">
        <v>0.27</v>
      </c>
      <c r="G39">
        <v>0</v>
      </c>
      <c r="H39" t="s">
        <v>9</v>
      </c>
      <c r="I39">
        <v>0</v>
      </c>
    </row>
    <row r="40" spans="1:9" x14ac:dyDescent="0.25">
      <c r="A40">
        <v>31</v>
      </c>
      <c r="B40">
        <v>42000</v>
      </c>
      <c r="C40">
        <v>13000</v>
      </c>
      <c r="D40">
        <v>652</v>
      </c>
      <c r="E40">
        <v>4</v>
      </c>
      <c r="F40">
        <v>0.38</v>
      </c>
      <c r="G40">
        <v>0</v>
      </c>
      <c r="H40" t="s">
        <v>10</v>
      </c>
      <c r="I40">
        <v>0</v>
      </c>
    </row>
    <row r="41" spans="1:9" x14ac:dyDescent="0.25">
      <c r="A41">
        <v>48</v>
      </c>
      <c r="B41">
        <v>84000</v>
      </c>
      <c r="C41">
        <v>26500</v>
      </c>
      <c r="D41">
        <v>728</v>
      </c>
      <c r="E41">
        <v>16</v>
      </c>
      <c r="F41">
        <v>0.24</v>
      </c>
      <c r="G41">
        <v>0</v>
      </c>
      <c r="H41" t="s">
        <v>11</v>
      </c>
      <c r="I41">
        <v>0</v>
      </c>
    </row>
    <row r="42" spans="1:9" x14ac:dyDescent="0.25">
      <c r="A42">
        <v>23</v>
      </c>
      <c r="B42">
        <v>28500</v>
      </c>
      <c r="C42">
        <v>11000</v>
      </c>
      <c r="D42">
        <v>582</v>
      </c>
      <c r="E42">
        <v>1</v>
      </c>
      <c r="F42">
        <v>0.54</v>
      </c>
      <c r="G42">
        <v>1</v>
      </c>
      <c r="H42" t="s">
        <v>12</v>
      </c>
      <c r="I42">
        <v>1</v>
      </c>
    </row>
    <row r="43" spans="1:9" x14ac:dyDescent="0.25">
      <c r="A43">
        <v>39</v>
      </c>
      <c r="B43">
        <v>60000</v>
      </c>
      <c r="C43">
        <v>17500</v>
      </c>
      <c r="D43">
        <v>688</v>
      </c>
      <c r="E43">
        <v>8</v>
      </c>
      <c r="F43">
        <v>0.32</v>
      </c>
      <c r="G43">
        <v>0</v>
      </c>
      <c r="H43" t="s">
        <v>9</v>
      </c>
      <c r="I43">
        <v>0</v>
      </c>
    </row>
    <row r="44" spans="1:9" x14ac:dyDescent="0.25">
      <c r="A44">
        <v>52</v>
      </c>
      <c r="B44">
        <v>90000</v>
      </c>
      <c r="C44">
        <v>28500</v>
      </c>
      <c r="D44">
        <v>738</v>
      </c>
      <c r="E44">
        <v>18</v>
      </c>
      <c r="F44">
        <v>0.22</v>
      </c>
      <c r="G44">
        <v>0</v>
      </c>
      <c r="H44" t="s">
        <v>11</v>
      </c>
      <c r="I44">
        <v>0</v>
      </c>
    </row>
    <row r="45" spans="1:9" x14ac:dyDescent="0.25">
      <c r="A45">
        <v>28</v>
      </c>
      <c r="B45">
        <v>35500</v>
      </c>
      <c r="C45">
        <v>9000</v>
      </c>
      <c r="D45">
        <v>618</v>
      </c>
      <c r="E45">
        <v>2</v>
      </c>
      <c r="F45">
        <v>0.44</v>
      </c>
      <c r="G45">
        <v>0</v>
      </c>
      <c r="H45" t="s">
        <v>10</v>
      </c>
      <c r="I45">
        <v>0</v>
      </c>
    </row>
    <row r="46" spans="1:9" x14ac:dyDescent="0.25">
      <c r="A46">
        <v>44</v>
      </c>
      <c r="B46">
        <v>71000</v>
      </c>
      <c r="C46">
        <v>22500</v>
      </c>
      <c r="D46">
        <v>708</v>
      </c>
      <c r="E46">
        <v>12</v>
      </c>
      <c r="F46">
        <v>0.28000000000000003</v>
      </c>
      <c r="G46">
        <v>0</v>
      </c>
      <c r="H46" t="s">
        <v>13</v>
      </c>
      <c r="I46">
        <v>0</v>
      </c>
    </row>
    <row r="47" spans="1:9" x14ac:dyDescent="0.25">
      <c r="A47">
        <v>32</v>
      </c>
      <c r="B47">
        <v>43500</v>
      </c>
      <c r="C47">
        <v>14500</v>
      </c>
      <c r="D47">
        <v>658</v>
      </c>
      <c r="E47">
        <v>5</v>
      </c>
      <c r="F47">
        <v>0.37</v>
      </c>
      <c r="G47">
        <v>0</v>
      </c>
      <c r="H47" t="s">
        <v>9</v>
      </c>
      <c r="I47">
        <v>0</v>
      </c>
    </row>
    <row r="48" spans="1:9" x14ac:dyDescent="0.25">
      <c r="A48">
        <v>26</v>
      </c>
      <c r="B48">
        <v>32000</v>
      </c>
      <c r="C48">
        <v>12000</v>
      </c>
      <c r="D48">
        <v>598</v>
      </c>
      <c r="E48">
        <v>2</v>
      </c>
      <c r="F48">
        <v>0.47</v>
      </c>
      <c r="G48">
        <v>1</v>
      </c>
      <c r="H48" t="s">
        <v>12</v>
      </c>
      <c r="I48">
        <v>1</v>
      </c>
    </row>
    <row r="49" spans="1:9" x14ac:dyDescent="0.25">
      <c r="A49">
        <v>50</v>
      </c>
      <c r="B49">
        <v>87000</v>
      </c>
      <c r="C49">
        <v>27500</v>
      </c>
      <c r="D49">
        <v>733</v>
      </c>
      <c r="E49">
        <v>17</v>
      </c>
      <c r="F49">
        <v>0.23</v>
      </c>
      <c r="G49">
        <v>0</v>
      </c>
      <c r="H49" t="s">
        <v>11</v>
      </c>
      <c r="I49">
        <v>0</v>
      </c>
    </row>
    <row r="50" spans="1:9" x14ac:dyDescent="0.25">
      <c r="A50">
        <v>34</v>
      </c>
      <c r="B50">
        <v>46000</v>
      </c>
      <c r="C50">
        <v>15000</v>
      </c>
      <c r="D50">
        <v>672</v>
      </c>
      <c r="E50">
        <v>5</v>
      </c>
      <c r="F50">
        <v>0.35</v>
      </c>
      <c r="G50">
        <v>0</v>
      </c>
      <c r="H50" t="s">
        <v>13</v>
      </c>
      <c r="I50">
        <v>0</v>
      </c>
    </row>
    <row r="51" spans="1:9" x14ac:dyDescent="0.25">
      <c r="A51">
        <v>41</v>
      </c>
      <c r="B51">
        <v>66000</v>
      </c>
      <c r="C51">
        <v>19500</v>
      </c>
      <c r="D51">
        <v>698</v>
      </c>
      <c r="E51">
        <v>10</v>
      </c>
      <c r="F51">
        <v>0.28999999999999998</v>
      </c>
      <c r="G51">
        <v>0</v>
      </c>
      <c r="H51" t="s">
        <v>9</v>
      </c>
      <c r="I51">
        <v>0</v>
      </c>
    </row>
    <row r="52" spans="1:9" x14ac:dyDescent="0.25">
      <c r="A52">
        <v>24</v>
      </c>
      <c r="B52">
        <v>29500</v>
      </c>
      <c r="C52">
        <v>10000</v>
      </c>
      <c r="D52">
        <v>580</v>
      </c>
      <c r="E52">
        <v>1</v>
      </c>
      <c r="F52">
        <v>0.55000000000000004</v>
      </c>
      <c r="G52">
        <v>1</v>
      </c>
      <c r="H52" t="s">
        <v>12</v>
      </c>
      <c r="I52">
        <v>1</v>
      </c>
    </row>
    <row r="53" spans="1:9" x14ac:dyDescent="0.25">
      <c r="A53">
        <v>46</v>
      </c>
      <c r="B53">
        <v>77000</v>
      </c>
      <c r="C53">
        <v>24500</v>
      </c>
      <c r="D53">
        <v>722</v>
      </c>
      <c r="E53">
        <v>14</v>
      </c>
      <c r="F53">
        <v>0.26</v>
      </c>
      <c r="G53">
        <v>0</v>
      </c>
      <c r="H53" t="s">
        <v>11</v>
      </c>
      <c r="I53">
        <v>0</v>
      </c>
    </row>
    <row r="54" spans="1:9" x14ac:dyDescent="0.25">
      <c r="A54">
        <v>30</v>
      </c>
      <c r="B54">
        <v>39000</v>
      </c>
      <c r="C54">
        <v>11500</v>
      </c>
      <c r="D54">
        <v>642</v>
      </c>
      <c r="E54">
        <v>4</v>
      </c>
      <c r="F54">
        <v>0.4</v>
      </c>
      <c r="G54">
        <v>0</v>
      </c>
      <c r="H54" t="s">
        <v>10</v>
      </c>
      <c r="I54">
        <v>0</v>
      </c>
    </row>
    <row r="55" spans="1:9" x14ac:dyDescent="0.25">
      <c r="A55">
        <v>37</v>
      </c>
      <c r="B55">
        <v>54000</v>
      </c>
      <c r="C55">
        <v>16000</v>
      </c>
      <c r="D55">
        <v>682</v>
      </c>
      <c r="E55">
        <v>7</v>
      </c>
      <c r="F55">
        <v>0.33</v>
      </c>
      <c r="G55">
        <v>0</v>
      </c>
      <c r="H55" t="s">
        <v>13</v>
      </c>
      <c r="I55">
        <v>0</v>
      </c>
    </row>
    <row r="56" spans="1:9" x14ac:dyDescent="0.25">
      <c r="A56">
        <v>49</v>
      </c>
      <c r="B56">
        <v>86000</v>
      </c>
      <c r="C56">
        <v>26000</v>
      </c>
      <c r="D56">
        <v>730</v>
      </c>
      <c r="E56">
        <v>16</v>
      </c>
      <c r="F56">
        <v>0.24</v>
      </c>
      <c r="G56">
        <v>0</v>
      </c>
      <c r="H56" t="s">
        <v>9</v>
      </c>
      <c r="I56">
        <v>0</v>
      </c>
    </row>
    <row r="57" spans="1:9" x14ac:dyDescent="0.25">
      <c r="A57">
        <v>27</v>
      </c>
      <c r="B57">
        <v>33500</v>
      </c>
      <c r="C57">
        <v>13000</v>
      </c>
      <c r="D57">
        <v>608</v>
      </c>
      <c r="E57">
        <v>2</v>
      </c>
      <c r="F57">
        <v>0.45</v>
      </c>
      <c r="G57">
        <v>0</v>
      </c>
      <c r="H57" t="s">
        <v>10</v>
      </c>
      <c r="I57">
        <v>1</v>
      </c>
    </row>
    <row r="58" spans="1:9" x14ac:dyDescent="0.25">
      <c r="A58">
        <v>42</v>
      </c>
      <c r="B58">
        <v>69000</v>
      </c>
      <c r="C58">
        <v>20500</v>
      </c>
      <c r="D58">
        <v>702</v>
      </c>
      <c r="E58">
        <v>11</v>
      </c>
      <c r="F58">
        <v>0.28999999999999998</v>
      </c>
      <c r="G58">
        <v>0</v>
      </c>
      <c r="H58" t="s">
        <v>11</v>
      </c>
      <c r="I58">
        <v>0</v>
      </c>
    </row>
    <row r="59" spans="1:9" x14ac:dyDescent="0.25">
      <c r="A59">
        <v>33</v>
      </c>
      <c r="B59">
        <v>45000</v>
      </c>
      <c r="C59">
        <v>14000</v>
      </c>
      <c r="D59">
        <v>662</v>
      </c>
      <c r="E59">
        <v>5</v>
      </c>
      <c r="F59">
        <v>0.36</v>
      </c>
      <c r="G59">
        <v>0</v>
      </c>
      <c r="H59" t="s">
        <v>9</v>
      </c>
      <c r="I59">
        <v>0</v>
      </c>
    </row>
    <row r="60" spans="1:9" x14ac:dyDescent="0.25">
      <c r="A60">
        <v>22</v>
      </c>
      <c r="B60">
        <v>27500</v>
      </c>
      <c r="C60">
        <v>9000</v>
      </c>
      <c r="D60">
        <v>578</v>
      </c>
      <c r="E60">
        <v>1</v>
      </c>
      <c r="F60">
        <v>0.56999999999999995</v>
      </c>
      <c r="G60">
        <v>1</v>
      </c>
      <c r="H60" t="s">
        <v>12</v>
      </c>
      <c r="I60">
        <v>1</v>
      </c>
    </row>
    <row r="61" spans="1:9" x14ac:dyDescent="0.25">
      <c r="A61">
        <v>51</v>
      </c>
      <c r="B61">
        <v>93000</v>
      </c>
      <c r="C61">
        <v>29500</v>
      </c>
      <c r="D61">
        <v>742</v>
      </c>
      <c r="E61">
        <v>19</v>
      </c>
      <c r="F61">
        <v>0.21</v>
      </c>
      <c r="G61">
        <v>0</v>
      </c>
      <c r="H61" t="s">
        <v>11</v>
      </c>
      <c r="I61">
        <v>0</v>
      </c>
    </row>
    <row r="62" spans="1:9" x14ac:dyDescent="0.25">
      <c r="A62">
        <v>35</v>
      </c>
      <c r="B62">
        <v>49000</v>
      </c>
      <c r="C62">
        <v>15500</v>
      </c>
      <c r="D62">
        <v>678</v>
      </c>
      <c r="E62">
        <v>6</v>
      </c>
      <c r="F62">
        <v>0.34</v>
      </c>
      <c r="G62">
        <v>0</v>
      </c>
      <c r="H62" t="s">
        <v>13</v>
      </c>
      <c r="I62">
        <v>0</v>
      </c>
    </row>
    <row r="63" spans="1:9" x14ac:dyDescent="0.25">
      <c r="A63">
        <v>43</v>
      </c>
      <c r="B63">
        <v>71500</v>
      </c>
      <c r="C63">
        <v>22000</v>
      </c>
      <c r="D63">
        <v>710</v>
      </c>
      <c r="E63">
        <v>12</v>
      </c>
      <c r="F63">
        <v>0.28000000000000003</v>
      </c>
      <c r="G63">
        <v>0</v>
      </c>
      <c r="H63" t="s">
        <v>9</v>
      </c>
      <c r="I63">
        <v>0</v>
      </c>
    </row>
    <row r="64" spans="1:9" x14ac:dyDescent="0.25">
      <c r="A64">
        <v>29</v>
      </c>
      <c r="B64">
        <v>38000</v>
      </c>
      <c r="C64">
        <v>10500</v>
      </c>
      <c r="D64">
        <v>635</v>
      </c>
      <c r="E64">
        <v>3</v>
      </c>
      <c r="F64">
        <v>0.4</v>
      </c>
      <c r="G64">
        <v>0</v>
      </c>
      <c r="H64" t="s">
        <v>10</v>
      </c>
      <c r="I64">
        <v>0</v>
      </c>
    </row>
    <row r="65" spans="1:9" x14ac:dyDescent="0.25">
      <c r="A65">
        <v>47</v>
      </c>
      <c r="B65">
        <v>81000</v>
      </c>
      <c r="C65">
        <v>24000</v>
      </c>
      <c r="D65">
        <v>725</v>
      </c>
      <c r="E65">
        <v>15</v>
      </c>
      <c r="F65">
        <v>0.25</v>
      </c>
      <c r="G65">
        <v>0</v>
      </c>
      <c r="H65" t="s">
        <v>11</v>
      </c>
      <c r="I65">
        <v>0</v>
      </c>
    </row>
    <row r="66" spans="1:9" x14ac:dyDescent="0.25">
      <c r="A66">
        <v>25</v>
      </c>
      <c r="B66">
        <v>31000</v>
      </c>
      <c r="C66">
        <v>11000</v>
      </c>
      <c r="D66">
        <v>592</v>
      </c>
      <c r="E66">
        <v>1</v>
      </c>
      <c r="F66">
        <v>0.5</v>
      </c>
      <c r="G66">
        <v>1</v>
      </c>
      <c r="H66" t="s">
        <v>12</v>
      </c>
      <c r="I66">
        <v>1</v>
      </c>
    </row>
    <row r="67" spans="1:9" x14ac:dyDescent="0.25">
      <c r="A67">
        <v>38</v>
      </c>
      <c r="B67">
        <v>57000</v>
      </c>
      <c r="C67">
        <v>17000</v>
      </c>
      <c r="D67">
        <v>686</v>
      </c>
      <c r="E67">
        <v>7</v>
      </c>
      <c r="F67">
        <v>0.32</v>
      </c>
      <c r="G67">
        <v>0</v>
      </c>
      <c r="H67" t="s">
        <v>13</v>
      </c>
      <c r="I67">
        <v>0</v>
      </c>
    </row>
    <row r="68" spans="1:9" x14ac:dyDescent="0.25">
      <c r="A68">
        <v>52</v>
      </c>
      <c r="B68">
        <v>94000</v>
      </c>
      <c r="C68">
        <v>30000</v>
      </c>
      <c r="D68">
        <v>744</v>
      </c>
      <c r="E68">
        <v>20</v>
      </c>
      <c r="F68">
        <v>0.2</v>
      </c>
      <c r="G68">
        <v>0</v>
      </c>
      <c r="H68" t="s">
        <v>9</v>
      </c>
      <c r="I68">
        <v>0</v>
      </c>
    </row>
    <row r="69" spans="1:9" x14ac:dyDescent="0.25">
      <c r="A69">
        <v>28</v>
      </c>
      <c r="B69">
        <v>36000</v>
      </c>
      <c r="C69">
        <v>9500</v>
      </c>
      <c r="D69">
        <v>620</v>
      </c>
      <c r="E69">
        <v>2</v>
      </c>
      <c r="F69">
        <v>0.43</v>
      </c>
      <c r="G69">
        <v>0</v>
      </c>
      <c r="H69" t="s">
        <v>10</v>
      </c>
      <c r="I69">
        <v>0</v>
      </c>
    </row>
    <row r="70" spans="1:9" x14ac:dyDescent="0.25">
      <c r="A70">
        <v>44</v>
      </c>
      <c r="B70">
        <v>73000</v>
      </c>
      <c r="C70">
        <v>23000</v>
      </c>
      <c r="D70">
        <v>712</v>
      </c>
      <c r="E70">
        <v>13</v>
      </c>
      <c r="F70">
        <v>0.27</v>
      </c>
      <c r="G70">
        <v>0</v>
      </c>
      <c r="H70" t="s">
        <v>11</v>
      </c>
      <c r="I70">
        <v>0</v>
      </c>
    </row>
    <row r="71" spans="1:9" x14ac:dyDescent="0.25">
      <c r="A71">
        <v>32</v>
      </c>
      <c r="B71">
        <v>44000</v>
      </c>
      <c r="C71">
        <v>13500</v>
      </c>
      <c r="D71">
        <v>660</v>
      </c>
      <c r="E71">
        <v>5</v>
      </c>
      <c r="F71">
        <v>0.37</v>
      </c>
      <c r="G71">
        <v>0</v>
      </c>
      <c r="H71" t="s">
        <v>13</v>
      </c>
      <c r="I71">
        <v>0</v>
      </c>
    </row>
    <row r="72" spans="1:9" x14ac:dyDescent="0.25">
      <c r="A72">
        <v>23</v>
      </c>
      <c r="B72">
        <v>28000</v>
      </c>
      <c r="C72">
        <v>10500</v>
      </c>
      <c r="D72">
        <v>583</v>
      </c>
      <c r="E72">
        <v>1</v>
      </c>
      <c r="F72">
        <v>0.54</v>
      </c>
      <c r="G72">
        <v>1</v>
      </c>
      <c r="H72" t="s">
        <v>12</v>
      </c>
      <c r="I72">
        <v>1</v>
      </c>
    </row>
    <row r="73" spans="1:9" x14ac:dyDescent="0.25">
      <c r="A73">
        <v>48</v>
      </c>
      <c r="B73">
        <v>83000</v>
      </c>
      <c r="C73">
        <v>25000</v>
      </c>
      <c r="D73">
        <v>726</v>
      </c>
      <c r="E73">
        <v>16</v>
      </c>
      <c r="F73">
        <v>0.25</v>
      </c>
      <c r="G73">
        <v>0</v>
      </c>
      <c r="H73" t="s">
        <v>9</v>
      </c>
      <c r="I73">
        <v>0</v>
      </c>
    </row>
    <row r="74" spans="1:9" x14ac:dyDescent="0.25">
      <c r="A74">
        <v>34</v>
      </c>
      <c r="B74">
        <v>47000</v>
      </c>
      <c r="C74">
        <v>15000</v>
      </c>
      <c r="D74">
        <v>674</v>
      </c>
      <c r="E74">
        <v>5</v>
      </c>
      <c r="F74">
        <v>0.35</v>
      </c>
      <c r="G74">
        <v>0</v>
      </c>
      <c r="H74" t="s">
        <v>11</v>
      </c>
      <c r="I74">
        <v>0</v>
      </c>
    </row>
    <row r="75" spans="1:9" x14ac:dyDescent="0.25">
      <c r="A75">
        <v>40</v>
      </c>
      <c r="B75">
        <v>64000</v>
      </c>
      <c r="C75">
        <v>18000</v>
      </c>
      <c r="D75">
        <v>694</v>
      </c>
      <c r="E75">
        <v>9</v>
      </c>
      <c r="F75">
        <v>0.3</v>
      </c>
      <c r="G75">
        <v>0</v>
      </c>
      <c r="H75" t="s">
        <v>13</v>
      </c>
      <c r="I75">
        <v>0</v>
      </c>
    </row>
    <row r="76" spans="1:9" x14ac:dyDescent="0.25">
      <c r="A76">
        <v>26</v>
      </c>
      <c r="B76">
        <v>32500</v>
      </c>
      <c r="C76">
        <v>12500</v>
      </c>
      <c r="D76">
        <v>602</v>
      </c>
      <c r="E76">
        <v>2</v>
      </c>
      <c r="F76">
        <v>0.48</v>
      </c>
      <c r="G76">
        <v>1</v>
      </c>
      <c r="H76" t="s">
        <v>12</v>
      </c>
      <c r="I76">
        <v>1</v>
      </c>
    </row>
    <row r="77" spans="1:9" x14ac:dyDescent="0.25">
      <c r="A77">
        <v>50</v>
      </c>
      <c r="B77">
        <v>89000</v>
      </c>
      <c r="C77">
        <v>28000</v>
      </c>
      <c r="D77">
        <v>736</v>
      </c>
      <c r="E77">
        <v>18</v>
      </c>
      <c r="F77">
        <v>0.22</v>
      </c>
      <c r="G77">
        <v>0</v>
      </c>
      <c r="H77" t="s">
        <v>9</v>
      </c>
      <c r="I77">
        <v>0</v>
      </c>
    </row>
    <row r="78" spans="1:9" x14ac:dyDescent="0.25">
      <c r="A78">
        <v>31</v>
      </c>
      <c r="B78">
        <v>41500</v>
      </c>
      <c r="C78">
        <v>12500</v>
      </c>
      <c r="D78">
        <v>648</v>
      </c>
      <c r="E78">
        <v>4</v>
      </c>
      <c r="F78">
        <v>0.39</v>
      </c>
      <c r="G78">
        <v>0</v>
      </c>
      <c r="H78" t="s">
        <v>10</v>
      </c>
      <c r="I78">
        <v>0</v>
      </c>
    </row>
    <row r="79" spans="1:9" x14ac:dyDescent="0.25">
      <c r="A79">
        <v>45</v>
      </c>
      <c r="B79">
        <v>75000</v>
      </c>
      <c r="C79">
        <v>24000</v>
      </c>
      <c r="D79">
        <v>716</v>
      </c>
      <c r="E79">
        <v>14</v>
      </c>
      <c r="F79">
        <v>0.27</v>
      </c>
      <c r="G79">
        <v>0</v>
      </c>
      <c r="H79" t="s">
        <v>11</v>
      </c>
      <c r="I79">
        <v>0</v>
      </c>
    </row>
    <row r="80" spans="1:9" x14ac:dyDescent="0.25">
      <c r="A80">
        <v>27</v>
      </c>
      <c r="B80">
        <v>34500</v>
      </c>
      <c r="C80">
        <v>11500</v>
      </c>
      <c r="D80">
        <v>612</v>
      </c>
      <c r="E80">
        <v>2</v>
      </c>
      <c r="F80">
        <v>0.44</v>
      </c>
      <c r="G80">
        <v>0</v>
      </c>
      <c r="H80" t="s">
        <v>13</v>
      </c>
      <c r="I80">
        <v>0</v>
      </c>
    </row>
    <row r="81" spans="1:9" x14ac:dyDescent="0.25">
      <c r="A81">
        <v>53</v>
      </c>
      <c r="B81">
        <v>97000</v>
      </c>
      <c r="C81">
        <v>31500</v>
      </c>
      <c r="D81">
        <v>746</v>
      </c>
      <c r="E81">
        <v>21</v>
      </c>
      <c r="F81">
        <v>0.19</v>
      </c>
      <c r="G81">
        <v>0</v>
      </c>
      <c r="H81" t="s">
        <v>9</v>
      </c>
      <c r="I81">
        <v>0</v>
      </c>
    </row>
    <row r="82" spans="1:9" x14ac:dyDescent="0.25">
      <c r="A82">
        <v>36</v>
      </c>
      <c r="B82">
        <v>51000</v>
      </c>
      <c r="C82">
        <v>16000</v>
      </c>
      <c r="D82">
        <v>683</v>
      </c>
      <c r="E82">
        <v>6</v>
      </c>
      <c r="F82">
        <v>0.33</v>
      </c>
      <c r="G82">
        <v>0</v>
      </c>
      <c r="H82" t="s">
        <v>11</v>
      </c>
      <c r="I82">
        <v>0</v>
      </c>
    </row>
    <row r="83" spans="1:9" x14ac:dyDescent="0.25">
      <c r="A83">
        <v>42</v>
      </c>
      <c r="B83">
        <v>67000</v>
      </c>
      <c r="C83">
        <v>20000</v>
      </c>
      <c r="D83">
        <v>700</v>
      </c>
      <c r="E83">
        <v>10</v>
      </c>
      <c r="F83">
        <v>0.28999999999999998</v>
      </c>
      <c r="G83">
        <v>0</v>
      </c>
      <c r="H83" t="s">
        <v>13</v>
      </c>
      <c r="I83">
        <v>0</v>
      </c>
    </row>
    <row r="84" spans="1:9" x14ac:dyDescent="0.25">
      <c r="A84">
        <v>24</v>
      </c>
      <c r="B84">
        <v>29000</v>
      </c>
      <c r="C84">
        <v>10000</v>
      </c>
      <c r="D84">
        <v>586</v>
      </c>
      <c r="E84">
        <v>1</v>
      </c>
      <c r="F84">
        <v>0.53</v>
      </c>
      <c r="G84">
        <v>1</v>
      </c>
      <c r="H84" t="s">
        <v>12</v>
      </c>
      <c r="I84">
        <v>1</v>
      </c>
    </row>
    <row r="85" spans="1:9" x14ac:dyDescent="0.25">
      <c r="A85">
        <v>46</v>
      </c>
      <c r="B85">
        <v>78000</v>
      </c>
      <c r="C85">
        <v>25500</v>
      </c>
      <c r="D85">
        <v>724</v>
      </c>
      <c r="E85">
        <v>14</v>
      </c>
      <c r="F85">
        <v>0.26</v>
      </c>
      <c r="G85">
        <v>0</v>
      </c>
      <c r="H85" t="s">
        <v>9</v>
      </c>
      <c r="I85">
        <v>0</v>
      </c>
    </row>
    <row r="86" spans="1:9" x14ac:dyDescent="0.25">
      <c r="A86">
        <v>30</v>
      </c>
      <c r="B86">
        <v>40000</v>
      </c>
      <c r="C86">
        <v>12000</v>
      </c>
      <c r="D86">
        <v>646</v>
      </c>
      <c r="E86">
        <v>4</v>
      </c>
      <c r="F86">
        <v>0.39</v>
      </c>
      <c r="G86">
        <v>0</v>
      </c>
      <c r="H86" t="s">
        <v>10</v>
      </c>
      <c r="I86">
        <v>0</v>
      </c>
    </row>
    <row r="87" spans="1:9" x14ac:dyDescent="0.25">
      <c r="A87">
        <v>39</v>
      </c>
      <c r="B87">
        <v>61000</v>
      </c>
      <c r="C87">
        <v>18000</v>
      </c>
      <c r="D87">
        <v>690</v>
      </c>
      <c r="E87">
        <v>8</v>
      </c>
      <c r="F87">
        <v>0.31</v>
      </c>
      <c r="G87">
        <v>0</v>
      </c>
      <c r="H87" t="s">
        <v>11</v>
      </c>
      <c r="I87">
        <v>0</v>
      </c>
    </row>
    <row r="88" spans="1:9" x14ac:dyDescent="0.25">
      <c r="A88">
        <v>49</v>
      </c>
      <c r="B88">
        <v>85500</v>
      </c>
      <c r="C88">
        <v>27000</v>
      </c>
      <c r="D88">
        <v>732</v>
      </c>
      <c r="E88">
        <v>17</v>
      </c>
      <c r="F88">
        <v>0.23</v>
      </c>
      <c r="G88">
        <v>0</v>
      </c>
      <c r="H88" t="s">
        <v>13</v>
      </c>
      <c r="I88">
        <v>0</v>
      </c>
    </row>
    <row r="89" spans="1:9" x14ac:dyDescent="0.25">
      <c r="A89">
        <v>28</v>
      </c>
      <c r="B89">
        <v>35000</v>
      </c>
      <c r="C89">
        <v>9000</v>
      </c>
      <c r="D89">
        <v>616</v>
      </c>
      <c r="E89">
        <v>2</v>
      </c>
      <c r="F89">
        <v>0.44</v>
      </c>
      <c r="G89">
        <v>0</v>
      </c>
      <c r="H89" t="s">
        <v>10</v>
      </c>
      <c r="I89">
        <v>0</v>
      </c>
    </row>
    <row r="90" spans="1:9" x14ac:dyDescent="0.25">
      <c r="A90">
        <v>43</v>
      </c>
      <c r="B90">
        <v>70500</v>
      </c>
      <c r="C90">
        <v>21500</v>
      </c>
      <c r="D90">
        <v>706</v>
      </c>
      <c r="E90">
        <v>11</v>
      </c>
      <c r="F90">
        <v>0.28000000000000003</v>
      </c>
      <c r="G90">
        <v>0</v>
      </c>
      <c r="H90" t="s">
        <v>9</v>
      </c>
      <c r="I90">
        <v>0</v>
      </c>
    </row>
    <row r="91" spans="1:9" x14ac:dyDescent="0.25">
      <c r="A91">
        <v>33</v>
      </c>
      <c r="B91">
        <v>44500</v>
      </c>
      <c r="C91">
        <v>14000</v>
      </c>
      <c r="D91">
        <v>656</v>
      </c>
      <c r="E91">
        <v>5</v>
      </c>
      <c r="F91">
        <v>0.38</v>
      </c>
      <c r="G91">
        <v>0</v>
      </c>
      <c r="H91" t="s">
        <v>11</v>
      </c>
      <c r="I91">
        <v>0</v>
      </c>
    </row>
    <row r="92" spans="1:9" x14ac:dyDescent="0.25">
      <c r="A92">
        <v>22</v>
      </c>
      <c r="B92">
        <v>27000</v>
      </c>
      <c r="C92">
        <v>9500</v>
      </c>
      <c r="D92">
        <v>576</v>
      </c>
      <c r="E92">
        <v>1</v>
      </c>
      <c r="F92">
        <v>0.56000000000000005</v>
      </c>
      <c r="G92">
        <v>1</v>
      </c>
      <c r="H92" t="s">
        <v>12</v>
      </c>
      <c r="I92">
        <v>1</v>
      </c>
    </row>
    <row r="93" spans="1:9" x14ac:dyDescent="0.25">
      <c r="A93">
        <v>51</v>
      </c>
      <c r="B93">
        <v>91000</v>
      </c>
      <c r="C93">
        <v>29000</v>
      </c>
      <c r="D93">
        <v>740</v>
      </c>
      <c r="E93">
        <v>19</v>
      </c>
      <c r="F93">
        <v>0.21</v>
      </c>
      <c r="G93">
        <v>0</v>
      </c>
      <c r="H93" t="s">
        <v>13</v>
      </c>
      <c r="I93">
        <v>0</v>
      </c>
    </row>
    <row r="94" spans="1:9" x14ac:dyDescent="0.25">
      <c r="A94">
        <v>35</v>
      </c>
      <c r="B94">
        <v>48500</v>
      </c>
      <c r="C94">
        <v>15500</v>
      </c>
      <c r="D94">
        <v>676</v>
      </c>
      <c r="E94">
        <v>6</v>
      </c>
      <c r="F94">
        <v>0.34</v>
      </c>
      <c r="G94">
        <v>0</v>
      </c>
      <c r="H94" t="s">
        <v>9</v>
      </c>
      <c r="I94">
        <v>0</v>
      </c>
    </row>
    <row r="95" spans="1:9" x14ac:dyDescent="0.25">
      <c r="A95">
        <v>41</v>
      </c>
      <c r="B95">
        <v>65500</v>
      </c>
      <c r="C95">
        <v>19000</v>
      </c>
      <c r="D95">
        <v>696</v>
      </c>
      <c r="E95">
        <v>10</v>
      </c>
      <c r="F95">
        <v>0.3</v>
      </c>
      <c r="G95">
        <v>0</v>
      </c>
      <c r="H95" t="s">
        <v>11</v>
      </c>
      <c r="I95">
        <v>0</v>
      </c>
    </row>
    <row r="96" spans="1:9" x14ac:dyDescent="0.25">
      <c r="A96">
        <v>25</v>
      </c>
      <c r="B96">
        <v>30000</v>
      </c>
      <c r="C96">
        <v>11000</v>
      </c>
      <c r="D96">
        <v>590</v>
      </c>
      <c r="E96">
        <v>1</v>
      </c>
      <c r="F96">
        <v>0.51</v>
      </c>
      <c r="G96">
        <v>1</v>
      </c>
      <c r="H96" t="s">
        <v>12</v>
      </c>
      <c r="I96">
        <v>1</v>
      </c>
    </row>
    <row r="97" spans="1:9" x14ac:dyDescent="0.25">
      <c r="A97">
        <v>47</v>
      </c>
      <c r="B97">
        <v>79000</v>
      </c>
      <c r="C97">
        <v>24500</v>
      </c>
      <c r="D97">
        <v>720</v>
      </c>
      <c r="E97">
        <v>15</v>
      </c>
      <c r="F97">
        <v>0.26</v>
      </c>
      <c r="G97">
        <v>0</v>
      </c>
      <c r="H97" t="s">
        <v>13</v>
      </c>
      <c r="I97">
        <v>0</v>
      </c>
    </row>
    <row r="98" spans="1:9" x14ac:dyDescent="0.25">
      <c r="A98">
        <v>31</v>
      </c>
      <c r="B98">
        <v>42500</v>
      </c>
      <c r="C98">
        <v>13000</v>
      </c>
      <c r="D98">
        <v>650</v>
      </c>
      <c r="E98">
        <v>4</v>
      </c>
      <c r="F98">
        <v>0.38</v>
      </c>
      <c r="G98">
        <v>0</v>
      </c>
      <c r="H98" t="s">
        <v>10</v>
      </c>
      <c r="I98">
        <v>0</v>
      </c>
    </row>
    <row r="99" spans="1:9" x14ac:dyDescent="0.25">
      <c r="A99">
        <v>38</v>
      </c>
      <c r="B99">
        <v>58000</v>
      </c>
      <c r="C99">
        <v>17500</v>
      </c>
      <c r="D99">
        <v>688</v>
      </c>
      <c r="E99">
        <v>8</v>
      </c>
      <c r="F99">
        <v>0.32</v>
      </c>
      <c r="G99">
        <v>0</v>
      </c>
      <c r="H99" t="s">
        <v>9</v>
      </c>
      <c r="I99">
        <v>0</v>
      </c>
    </row>
    <row r="100" spans="1:9" x14ac:dyDescent="0.25">
      <c r="A100">
        <v>52</v>
      </c>
      <c r="B100">
        <v>95000</v>
      </c>
      <c r="C100">
        <v>30000</v>
      </c>
      <c r="D100">
        <v>743</v>
      </c>
      <c r="E100">
        <v>20</v>
      </c>
      <c r="F100">
        <v>0.2</v>
      </c>
      <c r="G100">
        <v>0</v>
      </c>
      <c r="H100" t="s">
        <v>11</v>
      </c>
      <c r="I100">
        <v>0</v>
      </c>
    </row>
    <row r="101" spans="1:9" x14ac:dyDescent="0.25">
      <c r="A101">
        <v>29</v>
      </c>
      <c r="B101">
        <v>37500</v>
      </c>
      <c r="C101">
        <v>10500</v>
      </c>
      <c r="D101">
        <v>632</v>
      </c>
      <c r="E101">
        <v>3</v>
      </c>
      <c r="F101">
        <v>0.41</v>
      </c>
      <c r="G101">
        <v>0</v>
      </c>
      <c r="H101" t="s">
        <v>13</v>
      </c>
      <c r="I101">
        <v>0</v>
      </c>
    </row>
    <row r="102" spans="1:9" x14ac:dyDescent="0.25">
      <c r="A102">
        <v>44</v>
      </c>
      <c r="B102">
        <v>72500</v>
      </c>
      <c r="C102">
        <v>23500</v>
      </c>
      <c r="D102">
        <v>714</v>
      </c>
      <c r="E102">
        <v>12</v>
      </c>
      <c r="F102">
        <v>0.27</v>
      </c>
      <c r="G102">
        <v>0</v>
      </c>
      <c r="H102" t="s">
        <v>9</v>
      </c>
      <c r="I102">
        <v>0</v>
      </c>
    </row>
    <row r="103" spans="1:9" x14ac:dyDescent="0.25">
      <c r="A103">
        <v>26</v>
      </c>
      <c r="B103">
        <v>31500</v>
      </c>
      <c r="C103">
        <v>11500</v>
      </c>
      <c r="D103">
        <v>596</v>
      </c>
      <c r="E103">
        <v>2</v>
      </c>
      <c r="F103">
        <v>0.49</v>
      </c>
      <c r="G103">
        <v>1</v>
      </c>
      <c r="H103" t="s">
        <v>12</v>
      </c>
      <c r="I103">
        <v>1</v>
      </c>
    </row>
    <row r="104" spans="1:9" x14ac:dyDescent="0.25">
      <c r="A104">
        <v>50</v>
      </c>
      <c r="B104">
        <v>88000</v>
      </c>
      <c r="C104">
        <v>28000</v>
      </c>
      <c r="D104">
        <v>734</v>
      </c>
      <c r="E104">
        <v>17</v>
      </c>
      <c r="F104">
        <v>0.23</v>
      </c>
      <c r="G104">
        <v>0</v>
      </c>
      <c r="H104" t="s">
        <v>11</v>
      </c>
      <c r="I104">
        <v>0</v>
      </c>
    </row>
    <row r="105" spans="1:9" x14ac:dyDescent="0.25">
      <c r="A105">
        <v>34</v>
      </c>
      <c r="B105">
        <v>46500</v>
      </c>
      <c r="C105">
        <v>15000</v>
      </c>
      <c r="D105">
        <v>673</v>
      </c>
      <c r="E105">
        <v>5</v>
      </c>
      <c r="F105">
        <v>0.35</v>
      </c>
      <c r="G105">
        <v>0</v>
      </c>
      <c r="H105" t="s">
        <v>10</v>
      </c>
      <c r="I105">
        <v>0</v>
      </c>
    </row>
    <row r="106" spans="1:9" x14ac:dyDescent="0.25">
      <c r="A106">
        <v>40</v>
      </c>
      <c r="B106">
        <v>63000</v>
      </c>
      <c r="C106">
        <v>18500</v>
      </c>
      <c r="D106">
        <v>693</v>
      </c>
      <c r="E106">
        <v>9</v>
      </c>
      <c r="F106">
        <v>0.3</v>
      </c>
      <c r="G106">
        <v>0</v>
      </c>
      <c r="H106" t="s">
        <v>13</v>
      </c>
      <c r="I106">
        <v>0</v>
      </c>
    </row>
    <row r="107" spans="1:9" x14ac:dyDescent="0.25">
      <c r="A107">
        <v>23</v>
      </c>
      <c r="B107">
        <v>28500</v>
      </c>
      <c r="C107">
        <v>10500</v>
      </c>
      <c r="D107">
        <v>584</v>
      </c>
      <c r="E107">
        <v>1</v>
      </c>
      <c r="F107">
        <v>0.54</v>
      </c>
      <c r="G107">
        <v>1</v>
      </c>
      <c r="H107" t="s">
        <v>12</v>
      </c>
      <c r="I107">
        <v>1</v>
      </c>
    </row>
    <row r="108" spans="1:9" x14ac:dyDescent="0.25">
      <c r="A108">
        <v>48</v>
      </c>
      <c r="B108">
        <v>82500</v>
      </c>
      <c r="C108">
        <v>26000</v>
      </c>
      <c r="D108">
        <v>727</v>
      </c>
      <c r="E108">
        <v>16</v>
      </c>
      <c r="F108">
        <v>0.24</v>
      </c>
      <c r="G108">
        <v>0</v>
      </c>
      <c r="H108" t="s">
        <v>9</v>
      </c>
      <c r="I108">
        <v>0</v>
      </c>
    </row>
    <row r="109" spans="1:9" x14ac:dyDescent="0.25">
      <c r="A109">
        <v>32</v>
      </c>
      <c r="B109">
        <v>43000</v>
      </c>
      <c r="C109">
        <v>13500</v>
      </c>
      <c r="D109">
        <v>654</v>
      </c>
      <c r="E109">
        <v>5</v>
      </c>
      <c r="F109">
        <v>0.38</v>
      </c>
      <c r="G109">
        <v>0</v>
      </c>
      <c r="H109" t="s">
        <v>11</v>
      </c>
      <c r="I109">
        <v>0</v>
      </c>
    </row>
    <row r="110" spans="1:9" x14ac:dyDescent="0.25">
      <c r="A110">
        <v>45</v>
      </c>
      <c r="B110">
        <v>74500</v>
      </c>
      <c r="C110">
        <v>24500</v>
      </c>
      <c r="D110">
        <v>717</v>
      </c>
      <c r="E110">
        <v>13</v>
      </c>
      <c r="F110">
        <v>0.27</v>
      </c>
      <c r="G110">
        <v>0</v>
      </c>
      <c r="H110" t="s">
        <v>13</v>
      </c>
      <c r="I110">
        <v>0</v>
      </c>
    </row>
    <row r="111" spans="1:9" x14ac:dyDescent="0.25">
      <c r="A111">
        <v>27</v>
      </c>
      <c r="B111">
        <v>33000</v>
      </c>
      <c r="C111">
        <v>12000</v>
      </c>
      <c r="D111">
        <v>606</v>
      </c>
      <c r="E111">
        <v>2</v>
      </c>
      <c r="F111">
        <v>0.46</v>
      </c>
      <c r="G111">
        <v>0</v>
      </c>
      <c r="H111" t="s">
        <v>10</v>
      </c>
      <c r="I111">
        <v>1</v>
      </c>
    </row>
    <row r="112" spans="1:9" x14ac:dyDescent="0.25">
      <c r="A112">
        <v>53</v>
      </c>
      <c r="B112">
        <v>96500</v>
      </c>
      <c r="C112">
        <v>31000</v>
      </c>
      <c r="D112">
        <v>745</v>
      </c>
      <c r="E112">
        <v>20</v>
      </c>
      <c r="F112">
        <v>0.2</v>
      </c>
      <c r="G112">
        <v>0</v>
      </c>
      <c r="H112" t="s">
        <v>9</v>
      </c>
      <c r="I112">
        <v>0</v>
      </c>
    </row>
    <row r="113" spans="1:9" x14ac:dyDescent="0.25">
      <c r="A113">
        <v>36</v>
      </c>
      <c r="B113">
        <v>52000</v>
      </c>
      <c r="C113">
        <v>16500</v>
      </c>
      <c r="D113">
        <v>684</v>
      </c>
      <c r="E113">
        <v>7</v>
      </c>
      <c r="F113">
        <v>0.33</v>
      </c>
      <c r="G113">
        <v>0</v>
      </c>
      <c r="H113" t="s">
        <v>11</v>
      </c>
      <c r="I113">
        <v>0</v>
      </c>
    </row>
    <row r="114" spans="1:9" x14ac:dyDescent="0.25">
      <c r="A114">
        <v>42</v>
      </c>
      <c r="B114">
        <v>68000</v>
      </c>
      <c r="C114">
        <v>20000</v>
      </c>
      <c r="D114">
        <v>701</v>
      </c>
      <c r="E114">
        <v>10</v>
      </c>
      <c r="F114">
        <v>0.28999999999999998</v>
      </c>
      <c r="G114">
        <v>0</v>
      </c>
      <c r="H114" t="s">
        <v>13</v>
      </c>
      <c r="I114">
        <v>0</v>
      </c>
    </row>
    <row r="115" spans="1:9" x14ac:dyDescent="0.25">
      <c r="A115">
        <v>24</v>
      </c>
      <c r="B115">
        <v>29500</v>
      </c>
      <c r="C115">
        <v>10500</v>
      </c>
      <c r="D115">
        <v>587</v>
      </c>
      <c r="E115">
        <v>1</v>
      </c>
      <c r="F115">
        <v>0.53</v>
      </c>
      <c r="G115">
        <v>1</v>
      </c>
      <c r="H115" t="s">
        <v>12</v>
      </c>
      <c r="I115">
        <v>1</v>
      </c>
    </row>
    <row r="116" spans="1:9" x14ac:dyDescent="0.25">
      <c r="A116">
        <v>46</v>
      </c>
      <c r="B116">
        <v>77500</v>
      </c>
      <c r="C116">
        <v>25000</v>
      </c>
      <c r="D116">
        <v>723</v>
      </c>
      <c r="E116">
        <v>14</v>
      </c>
      <c r="F116">
        <v>0.26</v>
      </c>
      <c r="G116">
        <v>0</v>
      </c>
      <c r="H116" t="s">
        <v>9</v>
      </c>
      <c r="I116">
        <v>0</v>
      </c>
    </row>
    <row r="117" spans="1:9" x14ac:dyDescent="0.25">
      <c r="A117">
        <v>30</v>
      </c>
      <c r="B117">
        <v>39500</v>
      </c>
      <c r="C117">
        <v>11500</v>
      </c>
      <c r="D117">
        <v>644</v>
      </c>
      <c r="E117">
        <v>4</v>
      </c>
      <c r="F117">
        <v>0.39</v>
      </c>
      <c r="G117">
        <v>0</v>
      </c>
      <c r="H117" t="s">
        <v>10</v>
      </c>
      <c r="I117">
        <v>0</v>
      </c>
    </row>
    <row r="118" spans="1:9" x14ac:dyDescent="0.25">
      <c r="A118">
        <v>39</v>
      </c>
      <c r="B118">
        <v>60500</v>
      </c>
      <c r="C118">
        <v>17500</v>
      </c>
      <c r="D118">
        <v>689</v>
      </c>
      <c r="E118">
        <v>8</v>
      </c>
      <c r="F118">
        <v>0.31</v>
      </c>
      <c r="G118">
        <v>0</v>
      </c>
      <c r="H118" t="s">
        <v>11</v>
      </c>
      <c r="I118">
        <v>0</v>
      </c>
    </row>
    <row r="119" spans="1:9" x14ac:dyDescent="0.25">
      <c r="A119">
        <v>49</v>
      </c>
      <c r="B119">
        <v>86500</v>
      </c>
      <c r="C119">
        <v>27500</v>
      </c>
      <c r="D119">
        <v>733</v>
      </c>
      <c r="E119">
        <v>17</v>
      </c>
      <c r="F119">
        <v>0.23</v>
      </c>
      <c r="G119">
        <v>0</v>
      </c>
      <c r="H119" t="s">
        <v>13</v>
      </c>
      <c r="I119">
        <v>0</v>
      </c>
    </row>
    <row r="120" spans="1:9" x14ac:dyDescent="0.25">
      <c r="A120">
        <v>28</v>
      </c>
      <c r="B120">
        <v>35500</v>
      </c>
      <c r="C120">
        <v>9500</v>
      </c>
      <c r="D120">
        <v>617</v>
      </c>
      <c r="E120">
        <v>2</v>
      </c>
      <c r="F120">
        <v>0.44</v>
      </c>
      <c r="G120">
        <v>0</v>
      </c>
      <c r="H120" t="s">
        <v>10</v>
      </c>
      <c r="I120">
        <v>0</v>
      </c>
    </row>
    <row r="121" spans="1:9" x14ac:dyDescent="0.25">
      <c r="A121">
        <v>43</v>
      </c>
      <c r="B121">
        <v>69500</v>
      </c>
      <c r="C121">
        <v>21000</v>
      </c>
      <c r="D121">
        <v>704</v>
      </c>
      <c r="E121">
        <v>11</v>
      </c>
      <c r="F121">
        <v>0.28999999999999998</v>
      </c>
      <c r="G121">
        <v>0</v>
      </c>
      <c r="H121" t="s">
        <v>9</v>
      </c>
      <c r="I121">
        <v>0</v>
      </c>
    </row>
    <row r="122" spans="1:9" x14ac:dyDescent="0.25">
      <c r="A122">
        <v>33</v>
      </c>
      <c r="B122">
        <v>44000</v>
      </c>
      <c r="C122">
        <v>14000</v>
      </c>
      <c r="D122">
        <v>658</v>
      </c>
      <c r="E122">
        <v>5</v>
      </c>
      <c r="F122">
        <v>0.37</v>
      </c>
      <c r="G122">
        <v>0</v>
      </c>
      <c r="H122" t="s">
        <v>11</v>
      </c>
      <c r="I122">
        <v>0</v>
      </c>
    </row>
    <row r="123" spans="1:9" x14ac:dyDescent="0.25">
      <c r="A123">
        <v>22</v>
      </c>
      <c r="B123">
        <v>27500</v>
      </c>
      <c r="C123">
        <v>9500</v>
      </c>
      <c r="D123">
        <v>577</v>
      </c>
      <c r="E123">
        <v>1</v>
      </c>
      <c r="F123">
        <v>0.56999999999999995</v>
      </c>
      <c r="G123">
        <v>1</v>
      </c>
      <c r="H123" t="s">
        <v>12</v>
      </c>
      <c r="I123">
        <v>1</v>
      </c>
    </row>
    <row r="124" spans="1:9" x14ac:dyDescent="0.25">
      <c r="A124">
        <v>51</v>
      </c>
      <c r="B124">
        <v>92000</v>
      </c>
      <c r="C124">
        <v>29500</v>
      </c>
      <c r="D124">
        <v>741</v>
      </c>
      <c r="E124">
        <v>19</v>
      </c>
      <c r="F124">
        <v>0.21</v>
      </c>
      <c r="G124">
        <v>0</v>
      </c>
      <c r="H124" t="s">
        <v>13</v>
      </c>
      <c r="I124">
        <v>0</v>
      </c>
    </row>
    <row r="125" spans="1:9" x14ac:dyDescent="0.25">
      <c r="A125">
        <v>35</v>
      </c>
      <c r="B125">
        <v>49500</v>
      </c>
      <c r="C125">
        <v>15500</v>
      </c>
      <c r="D125">
        <v>679</v>
      </c>
      <c r="E125">
        <v>6</v>
      </c>
      <c r="F125">
        <v>0.34</v>
      </c>
      <c r="G125">
        <v>0</v>
      </c>
      <c r="H125" t="s">
        <v>9</v>
      </c>
      <c r="I125">
        <v>0</v>
      </c>
    </row>
    <row r="126" spans="1:9" x14ac:dyDescent="0.25">
      <c r="A126">
        <v>41</v>
      </c>
      <c r="B126">
        <v>66500</v>
      </c>
      <c r="C126">
        <v>19500</v>
      </c>
      <c r="D126">
        <v>697</v>
      </c>
      <c r="E126">
        <v>10</v>
      </c>
      <c r="F126">
        <v>0.3</v>
      </c>
      <c r="G126">
        <v>0</v>
      </c>
      <c r="H126" t="s">
        <v>11</v>
      </c>
      <c r="I126">
        <v>0</v>
      </c>
    </row>
    <row r="127" spans="1:9" x14ac:dyDescent="0.25">
      <c r="A127">
        <v>25</v>
      </c>
      <c r="B127">
        <v>30500</v>
      </c>
      <c r="C127">
        <v>11000</v>
      </c>
      <c r="D127">
        <v>591</v>
      </c>
      <c r="E127">
        <v>1</v>
      </c>
      <c r="F127">
        <v>0.51</v>
      </c>
      <c r="G127">
        <v>1</v>
      </c>
      <c r="H127" t="s">
        <v>12</v>
      </c>
      <c r="I127">
        <v>1</v>
      </c>
    </row>
    <row r="128" spans="1:9" x14ac:dyDescent="0.25">
      <c r="A128">
        <v>47</v>
      </c>
      <c r="B128">
        <v>80000</v>
      </c>
      <c r="C128">
        <v>25000</v>
      </c>
      <c r="D128">
        <v>721</v>
      </c>
      <c r="E128">
        <v>15</v>
      </c>
      <c r="F128">
        <v>0.26</v>
      </c>
      <c r="G128">
        <v>0</v>
      </c>
      <c r="H128" t="s">
        <v>13</v>
      </c>
      <c r="I128">
        <v>0</v>
      </c>
    </row>
    <row r="129" spans="1:9" x14ac:dyDescent="0.25">
      <c r="A129">
        <v>31</v>
      </c>
      <c r="B129">
        <v>41000</v>
      </c>
      <c r="C129">
        <v>12500</v>
      </c>
      <c r="D129">
        <v>649</v>
      </c>
      <c r="E129">
        <v>4</v>
      </c>
      <c r="F129">
        <v>0.39</v>
      </c>
      <c r="G129">
        <v>0</v>
      </c>
      <c r="H129" t="s">
        <v>10</v>
      </c>
      <c r="I129">
        <v>0</v>
      </c>
    </row>
    <row r="130" spans="1:9" x14ac:dyDescent="0.25">
      <c r="A130">
        <v>38</v>
      </c>
      <c r="B130">
        <v>57500</v>
      </c>
      <c r="C130">
        <v>17000</v>
      </c>
      <c r="D130">
        <v>687</v>
      </c>
      <c r="E130">
        <v>7</v>
      </c>
      <c r="F130">
        <v>0.32</v>
      </c>
      <c r="G130">
        <v>0</v>
      </c>
      <c r="H130" t="s">
        <v>9</v>
      </c>
      <c r="I130">
        <v>0</v>
      </c>
    </row>
    <row r="131" spans="1:9" x14ac:dyDescent="0.25">
      <c r="A131">
        <v>52</v>
      </c>
      <c r="B131">
        <v>94500</v>
      </c>
      <c r="C131">
        <v>30000</v>
      </c>
      <c r="D131">
        <v>744</v>
      </c>
      <c r="E131">
        <v>20</v>
      </c>
      <c r="F131">
        <v>0.2</v>
      </c>
      <c r="G131">
        <v>0</v>
      </c>
      <c r="H131" t="s">
        <v>11</v>
      </c>
      <c r="I131">
        <v>0</v>
      </c>
    </row>
    <row r="132" spans="1:9" x14ac:dyDescent="0.25">
      <c r="A132">
        <v>29</v>
      </c>
      <c r="B132">
        <v>38000</v>
      </c>
      <c r="C132">
        <v>10500</v>
      </c>
      <c r="D132">
        <v>633</v>
      </c>
      <c r="E132">
        <v>3</v>
      </c>
      <c r="F132">
        <v>0.4</v>
      </c>
      <c r="G132">
        <v>0</v>
      </c>
      <c r="H132" t="s">
        <v>13</v>
      </c>
      <c r="I132">
        <v>0</v>
      </c>
    </row>
    <row r="133" spans="1:9" x14ac:dyDescent="0.25">
      <c r="A133">
        <v>44</v>
      </c>
      <c r="B133">
        <v>73000</v>
      </c>
      <c r="C133">
        <v>23000</v>
      </c>
      <c r="D133">
        <v>713</v>
      </c>
      <c r="E133">
        <v>12</v>
      </c>
      <c r="F133">
        <v>0.27</v>
      </c>
      <c r="G133">
        <v>0</v>
      </c>
      <c r="H133" t="s">
        <v>9</v>
      </c>
      <c r="I133">
        <v>0</v>
      </c>
    </row>
    <row r="134" spans="1:9" x14ac:dyDescent="0.25">
      <c r="A134">
        <v>26</v>
      </c>
      <c r="B134">
        <v>32000</v>
      </c>
      <c r="C134">
        <v>12000</v>
      </c>
      <c r="D134">
        <v>600</v>
      </c>
      <c r="E134">
        <v>2</v>
      </c>
      <c r="F134">
        <v>0.48</v>
      </c>
      <c r="G134">
        <v>1</v>
      </c>
      <c r="H134" t="s">
        <v>12</v>
      </c>
      <c r="I134">
        <v>1</v>
      </c>
    </row>
    <row r="135" spans="1:9" x14ac:dyDescent="0.25">
      <c r="A135">
        <v>50</v>
      </c>
      <c r="B135">
        <v>89000</v>
      </c>
      <c r="C135">
        <v>28500</v>
      </c>
      <c r="D135">
        <v>735</v>
      </c>
      <c r="E135">
        <v>18</v>
      </c>
      <c r="F135">
        <v>0.22</v>
      </c>
      <c r="G135">
        <v>0</v>
      </c>
      <c r="H135" t="s">
        <v>11</v>
      </c>
      <c r="I135">
        <v>0</v>
      </c>
    </row>
    <row r="136" spans="1:9" x14ac:dyDescent="0.25">
      <c r="A136">
        <v>34</v>
      </c>
      <c r="B136">
        <v>47500</v>
      </c>
      <c r="C136">
        <v>15500</v>
      </c>
      <c r="D136">
        <v>675</v>
      </c>
      <c r="E136">
        <v>5</v>
      </c>
      <c r="F136">
        <v>0.35</v>
      </c>
      <c r="G136">
        <v>0</v>
      </c>
      <c r="H136" t="s">
        <v>10</v>
      </c>
      <c r="I136">
        <v>0</v>
      </c>
    </row>
    <row r="137" spans="1:9" x14ac:dyDescent="0.25">
      <c r="A137">
        <v>40</v>
      </c>
      <c r="B137">
        <v>64500</v>
      </c>
      <c r="C137">
        <v>18500</v>
      </c>
      <c r="D137">
        <v>695</v>
      </c>
      <c r="E137">
        <v>9</v>
      </c>
      <c r="F137">
        <v>0.3</v>
      </c>
      <c r="G137">
        <v>0</v>
      </c>
      <c r="H137" t="s">
        <v>13</v>
      </c>
      <c r="I137">
        <v>0</v>
      </c>
    </row>
    <row r="138" spans="1:9" x14ac:dyDescent="0.25">
      <c r="A138">
        <v>23</v>
      </c>
      <c r="B138">
        <v>28000</v>
      </c>
      <c r="C138">
        <v>10000</v>
      </c>
      <c r="D138">
        <v>581</v>
      </c>
      <c r="E138">
        <v>1</v>
      </c>
      <c r="F138">
        <v>0.55000000000000004</v>
      </c>
      <c r="G138">
        <v>1</v>
      </c>
      <c r="H138" t="s">
        <v>12</v>
      </c>
      <c r="I138">
        <v>1</v>
      </c>
    </row>
    <row r="139" spans="1:9" x14ac:dyDescent="0.25">
      <c r="A139">
        <v>48</v>
      </c>
      <c r="B139">
        <v>84000</v>
      </c>
      <c r="C139">
        <v>26500</v>
      </c>
      <c r="D139">
        <v>729</v>
      </c>
      <c r="E139">
        <v>16</v>
      </c>
      <c r="F139">
        <v>0.24</v>
      </c>
      <c r="G139">
        <v>0</v>
      </c>
      <c r="H139" t="s">
        <v>9</v>
      </c>
      <c r="I139">
        <v>0</v>
      </c>
    </row>
    <row r="140" spans="1:9" x14ac:dyDescent="0.25">
      <c r="A140">
        <v>32</v>
      </c>
      <c r="B140">
        <v>43500</v>
      </c>
      <c r="C140">
        <v>13500</v>
      </c>
      <c r="D140">
        <v>655</v>
      </c>
      <c r="E140">
        <v>5</v>
      </c>
      <c r="F140">
        <v>0.38</v>
      </c>
      <c r="G140">
        <v>0</v>
      </c>
      <c r="H140" t="s">
        <v>11</v>
      </c>
      <c r="I140">
        <v>0</v>
      </c>
    </row>
    <row r="141" spans="1:9" x14ac:dyDescent="0.25">
      <c r="A141">
        <v>45</v>
      </c>
      <c r="B141">
        <v>75500</v>
      </c>
      <c r="C141">
        <v>25000</v>
      </c>
      <c r="D141">
        <v>719</v>
      </c>
      <c r="E141">
        <v>14</v>
      </c>
      <c r="F141">
        <v>0.27</v>
      </c>
      <c r="G141">
        <v>0</v>
      </c>
      <c r="H141" t="s">
        <v>13</v>
      </c>
      <c r="I141">
        <v>0</v>
      </c>
    </row>
    <row r="142" spans="1:9" x14ac:dyDescent="0.25">
      <c r="A142">
        <v>27</v>
      </c>
      <c r="B142">
        <v>34000</v>
      </c>
      <c r="C142">
        <v>12500</v>
      </c>
      <c r="D142">
        <v>610</v>
      </c>
      <c r="E142">
        <v>2</v>
      </c>
      <c r="F142">
        <v>0.45</v>
      </c>
      <c r="G142">
        <v>0</v>
      </c>
      <c r="H142" t="s">
        <v>10</v>
      </c>
      <c r="I142">
        <v>1</v>
      </c>
    </row>
    <row r="143" spans="1:9" x14ac:dyDescent="0.25">
      <c r="A143">
        <v>53</v>
      </c>
      <c r="B143">
        <v>98000</v>
      </c>
      <c r="C143">
        <v>31500</v>
      </c>
      <c r="D143">
        <v>747</v>
      </c>
      <c r="E143">
        <v>21</v>
      </c>
      <c r="F143">
        <v>0.19</v>
      </c>
      <c r="G143">
        <v>0</v>
      </c>
      <c r="H143" t="s">
        <v>9</v>
      </c>
      <c r="I143">
        <v>0</v>
      </c>
    </row>
    <row r="144" spans="1:9" x14ac:dyDescent="0.25">
      <c r="A144">
        <v>36</v>
      </c>
      <c r="B144">
        <v>51500</v>
      </c>
      <c r="C144">
        <v>16500</v>
      </c>
      <c r="D144">
        <v>685</v>
      </c>
      <c r="E144">
        <v>7</v>
      </c>
      <c r="F144">
        <v>0.33</v>
      </c>
      <c r="G144">
        <v>0</v>
      </c>
      <c r="H144" t="s">
        <v>11</v>
      </c>
      <c r="I144">
        <v>0</v>
      </c>
    </row>
    <row r="145" spans="1:9" x14ac:dyDescent="0.25">
      <c r="A145">
        <v>42</v>
      </c>
      <c r="B145">
        <v>67500</v>
      </c>
      <c r="C145">
        <v>20000</v>
      </c>
      <c r="D145">
        <v>699</v>
      </c>
      <c r="E145">
        <v>10</v>
      </c>
      <c r="F145">
        <v>0.28999999999999998</v>
      </c>
      <c r="G145">
        <v>0</v>
      </c>
      <c r="H145" t="s">
        <v>13</v>
      </c>
      <c r="I145">
        <v>0</v>
      </c>
    </row>
    <row r="146" spans="1:9" x14ac:dyDescent="0.25">
      <c r="A146">
        <v>24</v>
      </c>
      <c r="B146">
        <v>29000</v>
      </c>
      <c r="C146">
        <v>10500</v>
      </c>
      <c r="D146">
        <v>585</v>
      </c>
      <c r="E146">
        <v>1</v>
      </c>
      <c r="F146">
        <v>0.54</v>
      </c>
      <c r="G146">
        <v>1</v>
      </c>
      <c r="H146" t="s">
        <v>12</v>
      </c>
      <c r="I146">
        <v>1</v>
      </c>
    </row>
    <row r="147" spans="1:9" x14ac:dyDescent="0.25">
      <c r="A147">
        <v>46</v>
      </c>
      <c r="B147">
        <v>78500</v>
      </c>
      <c r="C147">
        <v>25500</v>
      </c>
      <c r="D147">
        <v>722</v>
      </c>
      <c r="E147">
        <v>14</v>
      </c>
      <c r="F147">
        <v>0.26</v>
      </c>
      <c r="G147">
        <v>0</v>
      </c>
      <c r="H147" t="s">
        <v>9</v>
      </c>
      <c r="I147">
        <v>0</v>
      </c>
    </row>
    <row r="148" spans="1:9" x14ac:dyDescent="0.25">
      <c r="A148">
        <v>30</v>
      </c>
      <c r="B148">
        <v>40500</v>
      </c>
      <c r="C148">
        <v>12000</v>
      </c>
      <c r="D148">
        <v>647</v>
      </c>
      <c r="E148">
        <v>4</v>
      </c>
      <c r="F148">
        <v>0.39</v>
      </c>
      <c r="G148">
        <v>0</v>
      </c>
      <c r="H148" t="s">
        <v>10</v>
      </c>
      <c r="I148">
        <v>0</v>
      </c>
    </row>
    <row r="149" spans="1:9" x14ac:dyDescent="0.25">
      <c r="A149">
        <v>39</v>
      </c>
      <c r="B149">
        <v>61500</v>
      </c>
      <c r="C149">
        <v>18500</v>
      </c>
      <c r="D149">
        <v>691</v>
      </c>
      <c r="E149">
        <v>8</v>
      </c>
      <c r="F149">
        <v>0.31</v>
      </c>
      <c r="G149">
        <v>0</v>
      </c>
      <c r="H149" t="s">
        <v>11</v>
      </c>
      <c r="I149">
        <v>0</v>
      </c>
    </row>
    <row r="150" spans="1:9" x14ac:dyDescent="0.25">
      <c r="A150">
        <v>49</v>
      </c>
      <c r="B150">
        <v>87000</v>
      </c>
      <c r="C150">
        <v>27500</v>
      </c>
      <c r="D150">
        <v>734</v>
      </c>
      <c r="E150">
        <v>17</v>
      </c>
      <c r="F150">
        <v>0.23</v>
      </c>
      <c r="G150">
        <v>0</v>
      </c>
      <c r="H150" t="s">
        <v>13</v>
      </c>
      <c r="I150">
        <v>0</v>
      </c>
    </row>
    <row r="151" spans="1:9" x14ac:dyDescent="0.25">
      <c r="A151">
        <v>28</v>
      </c>
      <c r="B151">
        <v>36000</v>
      </c>
      <c r="C151">
        <v>9500</v>
      </c>
      <c r="D151">
        <v>619</v>
      </c>
      <c r="E151">
        <v>2</v>
      </c>
      <c r="F151">
        <v>0.43</v>
      </c>
      <c r="G151">
        <v>0</v>
      </c>
      <c r="H151" t="s">
        <v>10</v>
      </c>
      <c r="I151">
        <v>0</v>
      </c>
    </row>
    <row r="152" spans="1:9" x14ac:dyDescent="0.25">
      <c r="A152">
        <v>43</v>
      </c>
      <c r="B152">
        <v>71000</v>
      </c>
      <c r="C152">
        <v>22000</v>
      </c>
      <c r="D152">
        <v>707</v>
      </c>
      <c r="E152">
        <v>11</v>
      </c>
      <c r="F152">
        <v>0.28000000000000003</v>
      </c>
      <c r="G152">
        <v>0</v>
      </c>
      <c r="H152" t="s">
        <v>9</v>
      </c>
      <c r="I152">
        <v>0</v>
      </c>
    </row>
    <row r="153" spans="1:9" x14ac:dyDescent="0.25">
      <c r="A153">
        <v>33</v>
      </c>
      <c r="B153">
        <v>45000</v>
      </c>
      <c r="C153">
        <v>14500</v>
      </c>
      <c r="D153">
        <v>659</v>
      </c>
      <c r="E153">
        <v>5</v>
      </c>
      <c r="F153">
        <v>0.37</v>
      </c>
      <c r="G153">
        <v>0</v>
      </c>
      <c r="H153" t="s">
        <v>11</v>
      </c>
      <c r="I153">
        <v>0</v>
      </c>
    </row>
    <row r="154" spans="1:9" x14ac:dyDescent="0.25">
      <c r="A154">
        <v>22</v>
      </c>
      <c r="B154">
        <v>27000</v>
      </c>
      <c r="C154">
        <v>9000</v>
      </c>
      <c r="D154">
        <v>575</v>
      </c>
      <c r="E154">
        <v>1</v>
      </c>
      <c r="F154">
        <v>0.56999999999999995</v>
      </c>
      <c r="G154">
        <v>1</v>
      </c>
      <c r="H154" t="s">
        <v>12</v>
      </c>
      <c r="I154">
        <v>1</v>
      </c>
    </row>
    <row r="155" spans="1:9" x14ac:dyDescent="0.25">
      <c r="A155">
        <v>51</v>
      </c>
      <c r="B155">
        <v>93000</v>
      </c>
      <c r="C155">
        <v>30000</v>
      </c>
      <c r="D155">
        <v>742</v>
      </c>
      <c r="E155">
        <v>19</v>
      </c>
      <c r="F155">
        <v>0.21</v>
      </c>
      <c r="G155">
        <v>0</v>
      </c>
      <c r="H155" t="s">
        <v>13</v>
      </c>
      <c r="I155">
        <v>0</v>
      </c>
    </row>
    <row r="156" spans="1:9" x14ac:dyDescent="0.25">
      <c r="A156">
        <v>35</v>
      </c>
      <c r="B156">
        <v>50000</v>
      </c>
      <c r="C156">
        <v>16000</v>
      </c>
      <c r="D156">
        <v>680</v>
      </c>
      <c r="E156">
        <v>6</v>
      </c>
      <c r="F156">
        <v>0.34</v>
      </c>
      <c r="G156">
        <v>0</v>
      </c>
      <c r="H156" t="s">
        <v>9</v>
      </c>
      <c r="I156">
        <v>0</v>
      </c>
    </row>
    <row r="157" spans="1:9" x14ac:dyDescent="0.25">
      <c r="A157">
        <v>41</v>
      </c>
      <c r="B157">
        <v>66000</v>
      </c>
      <c r="C157">
        <v>19500</v>
      </c>
      <c r="D157">
        <v>698</v>
      </c>
      <c r="E157">
        <v>10</v>
      </c>
      <c r="F157">
        <v>0.28999999999999998</v>
      </c>
      <c r="G157">
        <v>0</v>
      </c>
      <c r="H157" t="s">
        <v>11</v>
      </c>
      <c r="I157">
        <v>0</v>
      </c>
    </row>
    <row r="158" spans="1:9" x14ac:dyDescent="0.25">
      <c r="A158">
        <v>25</v>
      </c>
      <c r="B158">
        <v>31000</v>
      </c>
      <c r="C158">
        <v>11500</v>
      </c>
      <c r="D158">
        <v>593</v>
      </c>
      <c r="E158">
        <v>1</v>
      </c>
      <c r="F158">
        <v>0.5</v>
      </c>
      <c r="G158">
        <v>1</v>
      </c>
      <c r="H158" t="s">
        <v>12</v>
      </c>
      <c r="I158">
        <v>1</v>
      </c>
    </row>
    <row r="159" spans="1:9" x14ac:dyDescent="0.25">
      <c r="A159">
        <v>47</v>
      </c>
      <c r="B159">
        <v>81000</v>
      </c>
      <c r="C159">
        <v>25500</v>
      </c>
      <c r="D159">
        <v>724</v>
      </c>
      <c r="E159">
        <v>15</v>
      </c>
      <c r="F159">
        <v>0.26</v>
      </c>
      <c r="G159">
        <v>0</v>
      </c>
      <c r="H159" t="s">
        <v>13</v>
      </c>
      <c r="I159">
        <v>0</v>
      </c>
    </row>
    <row r="160" spans="1:9" x14ac:dyDescent="0.25">
      <c r="A160">
        <v>31</v>
      </c>
      <c r="B160">
        <v>42000</v>
      </c>
      <c r="C160">
        <v>13000</v>
      </c>
      <c r="D160">
        <v>651</v>
      </c>
      <c r="E160">
        <v>4</v>
      </c>
      <c r="F160">
        <v>0.38</v>
      </c>
      <c r="G160">
        <v>0</v>
      </c>
      <c r="H160" t="s">
        <v>10</v>
      </c>
      <c r="I160">
        <v>0</v>
      </c>
    </row>
    <row r="161" spans="1:9" x14ac:dyDescent="0.25">
      <c r="A161">
        <v>38</v>
      </c>
      <c r="B161">
        <v>59000</v>
      </c>
      <c r="C161">
        <v>17500</v>
      </c>
      <c r="D161">
        <v>689</v>
      </c>
      <c r="E161">
        <v>8</v>
      </c>
      <c r="F161">
        <v>0.32</v>
      </c>
      <c r="G161">
        <v>0</v>
      </c>
      <c r="H161" t="s">
        <v>9</v>
      </c>
      <c r="I161">
        <v>0</v>
      </c>
    </row>
    <row r="162" spans="1:9" x14ac:dyDescent="0.25">
      <c r="A162">
        <v>52</v>
      </c>
      <c r="B162">
        <v>95000</v>
      </c>
      <c r="C162">
        <v>30500</v>
      </c>
      <c r="D162">
        <v>745</v>
      </c>
      <c r="E162">
        <v>20</v>
      </c>
      <c r="F162">
        <v>0.2</v>
      </c>
      <c r="G162">
        <v>0</v>
      </c>
      <c r="H162" t="s">
        <v>11</v>
      </c>
      <c r="I162">
        <v>0</v>
      </c>
    </row>
    <row r="163" spans="1:9" x14ac:dyDescent="0.25">
      <c r="A163">
        <v>29</v>
      </c>
      <c r="B163">
        <v>38500</v>
      </c>
      <c r="C163">
        <v>11000</v>
      </c>
      <c r="D163">
        <v>634</v>
      </c>
      <c r="E163">
        <v>3</v>
      </c>
      <c r="F163">
        <v>0.4</v>
      </c>
      <c r="G163">
        <v>0</v>
      </c>
      <c r="H163" t="s">
        <v>13</v>
      </c>
      <c r="I163">
        <v>0</v>
      </c>
    </row>
    <row r="164" spans="1:9" x14ac:dyDescent="0.25">
      <c r="A164">
        <v>44</v>
      </c>
      <c r="B164">
        <v>74000</v>
      </c>
      <c r="C164">
        <v>24000</v>
      </c>
      <c r="D164">
        <v>715</v>
      </c>
      <c r="E164">
        <v>13</v>
      </c>
      <c r="F164">
        <v>0.27</v>
      </c>
      <c r="G164">
        <v>0</v>
      </c>
      <c r="H164" t="s">
        <v>9</v>
      </c>
      <c r="I164">
        <v>0</v>
      </c>
    </row>
    <row r="165" spans="1:9" x14ac:dyDescent="0.25">
      <c r="A165">
        <v>26</v>
      </c>
      <c r="B165">
        <v>32500</v>
      </c>
      <c r="C165">
        <v>12500</v>
      </c>
      <c r="D165">
        <v>604</v>
      </c>
      <c r="E165">
        <v>2</v>
      </c>
      <c r="F165">
        <v>0.47</v>
      </c>
      <c r="G165">
        <v>1</v>
      </c>
      <c r="H165" t="s">
        <v>12</v>
      </c>
      <c r="I165">
        <v>1</v>
      </c>
    </row>
    <row r="166" spans="1:9" x14ac:dyDescent="0.25">
      <c r="A166">
        <v>50</v>
      </c>
      <c r="B166">
        <v>90000</v>
      </c>
      <c r="C166">
        <v>29000</v>
      </c>
      <c r="D166">
        <v>737</v>
      </c>
      <c r="E166">
        <v>18</v>
      </c>
      <c r="F166">
        <v>0.22</v>
      </c>
      <c r="G166">
        <v>0</v>
      </c>
      <c r="H166" t="s">
        <v>11</v>
      </c>
      <c r="I166">
        <v>0</v>
      </c>
    </row>
    <row r="167" spans="1:9" x14ac:dyDescent="0.25">
      <c r="A167">
        <v>34</v>
      </c>
      <c r="B167">
        <v>48000</v>
      </c>
      <c r="C167">
        <v>16000</v>
      </c>
      <c r="D167">
        <v>676</v>
      </c>
      <c r="E167">
        <v>5</v>
      </c>
      <c r="F167">
        <v>0.35</v>
      </c>
      <c r="G167">
        <v>0</v>
      </c>
      <c r="H167" t="s">
        <v>10</v>
      </c>
      <c r="I167">
        <v>0</v>
      </c>
    </row>
    <row r="168" spans="1:9" x14ac:dyDescent="0.25">
      <c r="A168">
        <v>40</v>
      </c>
      <c r="B168">
        <v>65000</v>
      </c>
      <c r="C168">
        <v>19000</v>
      </c>
      <c r="D168">
        <v>696</v>
      </c>
      <c r="E168">
        <v>9</v>
      </c>
      <c r="F168">
        <v>0.3</v>
      </c>
      <c r="G168">
        <v>0</v>
      </c>
      <c r="H168" t="s">
        <v>13</v>
      </c>
      <c r="I168">
        <v>0</v>
      </c>
    </row>
    <row r="169" spans="1:9" x14ac:dyDescent="0.25">
      <c r="A169">
        <v>23</v>
      </c>
      <c r="B169">
        <v>28500</v>
      </c>
      <c r="C169">
        <v>10500</v>
      </c>
      <c r="D169">
        <v>582</v>
      </c>
      <c r="E169">
        <v>1</v>
      </c>
      <c r="F169">
        <v>0.54</v>
      </c>
      <c r="G169">
        <v>1</v>
      </c>
      <c r="H169" t="s">
        <v>12</v>
      </c>
      <c r="I169">
        <v>1</v>
      </c>
    </row>
    <row r="170" spans="1:9" x14ac:dyDescent="0.25">
      <c r="A170">
        <v>48</v>
      </c>
      <c r="B170">
        <v>85000</v>
      </c>
      <c r="C170">
        <v>27000</v>
      </c>
      <c r="D170">
        <v>730</v>
      </c>
      <c r="E170">
        <v>16</v>
      </c>
      <c r="F170">
        <v>0.24</v>
      </c>
      <c r="G170">
        <v>0</v>
      </c>
      <c r="H170" t="s">
        <v>9</v>
      </c>
      <c r="I170">
        <v>0</v>
      </c>
    </row>
    <row r="171" spans="1:9" x14ac:dyDescent="0.25">
      <c r="A171">
        <v>32</v>
      </c>
      <c r="B171">
        <v>44000</v>
      </c>
      <c r="C171">
        <v>14000</v>
      </c>
      <c r="D171">
        <v>656</v>
      </c>
      <c r="E171">
        <v>5</v>
      </c>
      <c r="F171">
        <v>0.37</v>
      </c>
      <c r="G171">
        <v>0</v>
      </c>
      <c r="H171" t="s">
        <v>11</v>
      </c>
      <c r="I171">
        <v>0</v>
      </c>
    </row>
    <row r="172" spans="1:9" x14ac:dyDescent="0.25">
      <c r="A172">
        <v>45</v>
      </c>
      <c r="B172">
        <v>76000</v>
      </c>
      <c r="C172">
        <v>25500</v>
      </c>
      <c r="D172">
        <v>720</v>
      </c>
      <c r="E172">
        <v>14</v>
      </c>
      <c r="F172">
        <v>0.27</v>
      </c>
      <c r="G172">
        <v>0</v>
      </c>
      <c r="H172" t="s">
        <v>13</v>
      </c>
      <c r="I172">
        <v>0</v>
      </c>
    </row>
    <row r="173" spans="1:9" x14ac:dyDescent="0.25">
      <c r="A173">
        <v>27</v>
      </c>
      <c r="B173">
        <v>34500</v>
      </c>
      <c r="C173">
        <v>13000</v>
      </c>
      <c r="D173">
        <v>611</v>
      </c>
      <c r="E173">
        <v>2</v>
      </c>
      <c r="F173">
        <v>0.45</v>
      </c>
      <c r="G173">
        <v>0</v>
      </c>
      <c r="H173" t="s">
        <v>10</v>
      </c>
      <c r="I173">
        <v>1</v>
      </c>
    </row>
    <row r="174" spans="1:9" x14ac:dyDescent="0.25">
      <c r="A174">
        <v>53</v>
      </c>
      <c r="B174">
        <v>99000</v>
      </c>
      <c r="C174">
        <v>32000</v>
      </c>
      <c r="D174">
        <v>748</v>
      </c>
      <c r="E174">
        <v>21</v>
      </c>
      <c r="F174">
        <v>0.19</v>
      </c>
      <c r="G174">
        <v>0</v>
      </c>
      <c r="H174" t="s">
        <v>9</v>
      </c>
      <c r="I174">
        <v>0</v>
      </c>
    </row>
    <row r="175" spans="1:9" x14ac:dyDescent="0.25">
      <c r="A175">
        <v>36</v>
      </c>
      <c r="B175">
        <v>52500</v>
      </c>
      <c r="C175">
        <v>17000</v>
      </c>
      <c r="D175">
        <v>686</v>
      </c>
      <c r="E175">
        <v>7</v>
      </c>
      <c r="F175">
        <v>0.33</v>
      </c>
      <c r="G175">
        <v>0</v>
      </c>
      <c r="H175" t="s">
        <v>11</v>
      </c>
      <c r="I175">
        <v>0</v>
      </c>
    </row>
    <row r="176" spans="1:9" x14ac:dyDescent="0.25">
      <c r="A176">
        <v>42</v>
      </c>
      <c r="B176">
        <v>69000</v>
      </c>
      <c r="C176">
        <v>20500</v>
      </c>
      <c r="D176">
        <v>702</v>
      </c>
      <c r="E176">
        <v>10</v>
      </c>
      <c r="F176">
        <v>0.28999999999999998</v>
      </c>
      <c r="G176">
        <v>0</v>
      </c>
      <c r="H176" t="s">
        <v>13</v>
      </c>
      <c r="I176">
        <v>0</v>
      </c>
    </row>
    <row r="177" spans="1:9" x14ac:dyDescent="0.25">
      <c r="A177">
        <v>24</v>
      </c>
      <c r="B177">
        <v>30000</v>
      </c>
      <c r="C177">
        <v>11000</v>
      </c>
      <c r="D177">
        <v>588</v>
      </c>
      <c r="E177">
        <v>1</v>
      </c>
      <c r="F177">
        <v>0.52</v>
      </c>
      <c r="G177">
        <v>1</v>
      </c>
      <c r="H177" t="s">
        <v>12</v>
      </c>
      <c r="I177">
        <v>1</v>
      </c>
    </row>
    <row r="178" spans="1:9" x14ac:dyDescent="0.25">
      <c r="A178">
        <v>46</v>
      </c>
      <c r="B178">
        <v>80000</v>
      </c>
      <c r="C178">
        <v>26000</v>
      </c>
      <c r="D178">
        <v>725</v>
      </c>
      <c r="E178">
        <v>14</v>
      </c>
      <c r="F178">
        <v>0.26</v>
      </c>
      <c r="G178">
        <v>0</v>
      </c>
      <c r="H178" t="s">
        <v>9</v>
      </c>
      <c r="I178">
        <v>0</v>
      </c>
    </row>
    <row r="179" spans="1:9" x14ac:dyDescent="0.25">
      <c r="A179">
        <v>30</v>
      </c>
      <c r="B179">
        <v>41000</v>
      </c>
      <c r="C179">
        <v>12500</v>
      </c>
      <c r="D179">
        <v>648</v>
      </c>
      <c r="E179">
        <v>4</v>
      </c>
      <c r="F179">
        <v>0.39</v>
      </c>
      <c r="G179">
        <v>0</v>
      </c>
      <c r="H179" t="s">
        <v>10</v>
      </c>
      <c r="I179">
        <v>0</v>
      </c>
    </row>
    <row r="180" spans="1:9" x14ac:dyDescent="0.25">
      <c r="A180">
        <v>39</v>
      </c>
      <c r="B180">
        <v>62000</v>
      </c>
      <c r="C180">
        <v>19000</v>
      </c>
      <c r="D180">
        <v>692</v>
      </c>
      <c r="E180">
        <v>8</v>
      </c>
      <c r="F180">
        <v>0.31</v>
      </c>
      <c r="G180">
        <v>0</v>
      </c>
      <c r="H180" t="s">
        <v>11</v>
      </c>
      <c r="I180">
        <v>0</v>
      </c>
    </row>
    <row r="181" spans="1:9" x14ac:dyDescent="0.25">
      <c r="A181">
        <v>49</v>
      </c>
      <c r="B181">
        <v>88000</v>
      </c>
      <c r="C181">
        <v>28000</v>
      </c>
      <c r="D181">
        <v>735</v>
      </c>
      <c r="E181">
        <v>17</v>
      </c>
      <c r="F181">
        <v>0.23</v>
      </c>
      <c r="G181">
        <v>0</v>
      </c>
      <c r="H181" t="s">
        <v>13</v>
      </c>
      <c r="I181">
        <v>0</v>
      </c>
    </row>
    <row r="182" spans="1:9" x14ac:dyDescent="0.25">
      <c r="A182">
        <v>28</v>
      </c>
      <c r="B182">
        <v>36500</v>
      </c>
      <c r="C182">
        <v>10000</v>
      </c>
      <c r="D182">
        <v>621</v>
      </c>
      <c r="E182">
        <v>2</v>
      </c>
      <c r="F182">
        <v>0.43</v>
      </c>
      <c r="G182">
        <v>0</v>
      </c>
      <c r="H182" t="s">
        <v>10</v>
      </c>
      <c r="I182">
        <v>0</v>
      </c>
    </row>
    <row r="183" spans="1:9" x14ac:dyDescent="0.25">
      <c r="A183">
        <v>43</v>
      </c>
      <c r="B183">
        <v>72000</v>
      </c>
      <c r="C183">
        <v>22500</v>
      </c>
      <c r="D183">
        <v>709</v>
      </c>
      <c r="E183">
        <v>11</v>
      </c>
      <c r="F183">
        <v>0.28000000000000003</v>
      </c>
      <c r="G183">
        <v>0</v>
      </c>
      <c r="H183" t="s">
        <v>9</v>
      </c>
      <c r="I183">
        <v>0</v>
      </c>
    </row>
    <row r="184" spans="1:9" x14ac:dyDescent="0.25">
      <c r="A184">
        <v>33</v>
      </c>
      <c r="B184">
        <v>46000</v>
      </c>
      <c r="C184">
        <v>15000</v>
      </c>
      <c r="D184">
        <v>661</v>
      </c>
      <c r="E184">
        <v>5</v>
      </c>
      <c r="F184">
        <v>0.36</v>
      </c>
      <c r="G184">
        <v>0</v>
      </c>
      <c r="H184" t="s">
        <v>11</v>
      </c>
      <c r="I184">
        <v>0</v>
      </c>
    </row>
    <row r="185" spans="1:9" x14ac:dyDescent="0.25">
      <c r="A185">
        <v>22</v>
      </c>
      <c r="B185">
        <v>27500</v>
      </c>
      <c r="C185">
        <v>9500</v>
      </c>
      <c r="D185">
        <v>579</v>
      </c>
      <c r="E185">
        <v>1</v>
      </c>
      <c r="F185">
        <v>0.56000000000000005</v>
      </c>
      <c r="G185">
        <v>1</v>
      </c>
      <c r="H185" t="s">
        <v>12</v>
      </c>
      <c r="I185">
        <v>1</v>
      </c>
    </row>
    <row r="186" spans="1:9" x14ac:dyDescent="0.25">
      <c r="A186">
        <v>51</v>
      </c>
      <c r="B186">
        <v>94000</v>
      </c>
      <c r="C186">
        <v>30500</v>
      </c>
      <c r="D186">
        <v>743</v>
      </c>
      <c r="E186">
        <v>19</v>
      </c>
      <c r="F186">
        <v>0.21</v>
      </c>
      <c r="G186">
        <v>0</v>
      </c>
      <c r="H186" t="s">
        <v>13</v>
      </c>
      <c r="I186">
        <v>0</v>
      </c>
    </row>
    <row r="187" spans="1:9" x14ac:dyDescent="0.25">
      <c r="A187">
        <v>35</v>
      </c>
      <c r="B187">
        <v>51000</v>
      </c>
      <c r="C187">
        <v>16500</v>
      </c>
      <c r="D187">
        <v>681</v>
      </c>
      <c r="E187">
        <v>6</v>
      </c>
      <c r="F187">
        <v>0.34</v>
      </c>
      <c r="G187">
        <v>0</v>
      </c>
      <c r="H187" t="s">
        <v>9</v>
      </c>
      <c r="I187">
        <v>0</v>
      </c>
    </row>
    <row r="188" spans="1:9" x14ac:dyDescent="0.25">
      <c r="A188">
        <v>41</v>
      </c>
      <c r="B188">
        <v>67000</v>
      </c>
      <c r="C188">
        <v>20000</v>
      </c>
      <c r="D188">
        <v>699</v>
      </c>
      <c r="E188">
        <v>10</v>
      </c>
      <c r="F188">
        <v>0.28999999999999998</v>
      </c>
      <c r="G188">
        <v>0</v>
      </c>
      <c r="H188" t="s">
        <v>11</v>
      </c>
      <c r="I188">
        <v>0</v>
      </c>
    </row>
    <row r="189" spans="1:9" x14ac:dyDescent="0.25">
      <c r="A189">
        <v>25</v>
      </c>
      <c r="B189">
        <v>31500</v>
      </c>
      <c r="C189">
        <v>12000</v>
      </c>
      <c r="D189">
        <v>594</v>
      </c>
      <c r="E189">
        <v>1</v>
      </c>
      <c r="F189">
        <v>0.5</v>
      </c>
      <c r="G189">
        <v>1</v>
      </c>
      <c r="H189" t="s">
        <v>12</v>
      </c>
      <c r="I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EB04-0959-43FE-9494-C735C5308660}">
  <sheetPr>
    <tabColor rgb="FF1F4E79"/>
  </sheetPr>
  <dimension ref="A1:R110"/>
  <sheetViews>
    <sheetView topLeftCell="A25" workbookViewId="0">
      <selection activeCell="D16" sqref="D16"/>
    </sheetView>
  </sheetViews>
  <sheetFormatPr defaultRowHeight="15" x14ac:dyDescent="0.25"/>
  <cols>
    <col min="1" max="1" width="24.7109375" customWidth="1"/>
    <col min="2" max="8" width="21" customWidth="1"/>
    <col min="11" max="13" width="9.140625" customWidth="1"/>
  </cols>
  <sheetData>
    <row r="1" spans="1:18" ht="21" x14ac:dyDescent="0.35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18" ht="15.75" x14ac:dyDescent="0.25">
      <c r="A3" s="3" t="s">
        <v>15</v>
      </c>
      <c r="K3" s="4" t="s">
        <v>67</v>
      </c>
      <c r="L3" s="4" t="s">
        <v>65</v>
      </c>
      <c r="M3" s="4" t="s">
        <v>132</v>
      </c>
    </row>
    <row r="4" spans="1:18" x14ac:dyDescent="0.25">
      <c r="A4" s="5" t="s">
        <v>16</v>
      </c>
      <c r="B4" s="5" t="s">
        <v>17</v>
      </c>
      <c r="D4" s="5" t="s">
        <v>18</v>
      </c>
      <c r="E4" s="5" t="s">
        <v>19</v>
      </c>
      <c r="F4" s="5" t="s">
        <v>20</v>
      </c>
      <c r="K4" t="s">
        <v>72</v>
      </c>
      <c r="L4">
        <v>31</v>
      </c>
      <c r="M4">
        <v>1</v>
      </c>
    </row>
    <row r="5" spans="1:18" x14ac:dyDescent="0.25">
      <c r="A5" t="s">
        <v>21</v>
      </c>
      <c r="B5">
        <v>188</v>
      </c>
      <c r="D5" t="s">
        <v>0</v>
      </c>
      <c r="E5" t="s">
        <v>22</v>
      </c>
      <c r="F5">
        <v>0</v>
      </c>
      <c r="K5" t="s">
        <v>71</v>
      </c>
      <c r="L5">
        <v>7</v>
      </c>
      <c r="M5">
        <v>23</v>
      </c>
    </row>
    <row r="6" spans="1:18" x14ac:dyDescent="0.25">
      <c r="A6" t="s">
        <v>23</v>
      </c>
      <c r="B6">
        <v>9</v>
      </c>
      <c r="D6" t="s">
        <v>1</v>
      </c>
      <c r="E6" t="s">
        <v>22</v>
      </c>
      <c r="F6">
        <v>0</v>
      </c>
      <c r="K6" t="s">
        <v>70</v>
      </c>
      <c r="L6">
        <v>0</v>
      </c>
      <c r="M6">
        <v>38</v>
      </c>
    </row>
    <row r="7" spans="1:18" x14ac:dyDescent="0.25">
      <c r="A7" t="s">
        <v>24</v>
      </c>
      <c r="B7" s="6">
        <v>38</v>
      </c>
      <c r="D7" t="s">
        <v>2</v>
      </c>
      <c r="E7" t="s">
        <v>22</v>
      </c>
      <c r="F7">
        <v>0</v>
      </c>
      <c r="K7" t="s">
        <v>69</v>
      </c>
      <c r="L7">
        <v>0</v>
      </c>
      <c r="M7">
        <v>44</v>
      </c>
    </row>
    <row r="8" spans="1:18" x14ac:dyDescent="0.25">
      <c r="A8" t="s">
        <v>25</v>
      </c>
      <c r="B8">
        <v>150</v>
      </c>
      <c r="D8" t="s">
        <v>3</v>
      </c>
      <c r="E8" t="s">
        <v>22</v>
      </c>
      <c r="F8">
        <v>0</v>
      </c>
      <c r="K8" t="s">
        <v>68</v>
      </c>
      <c r="L8">
        <v>0</v>
      </c>
      <c r="M8">
        <v>44</v>
      </c>
    </row>
    <row r="9" spans="1:18" x14ac:dyDescent="0.25">
      <c r="A9" t="s">
        <v>26</v>
      </c>
      <c r="B9" s="7">
        <v>0.20200000000000001</v>
      </c>
      <c r="D9" t="s">
        <v>4</v>
      </c>
      <c r="E9" t="s">
        <v>22</v>
      </c>
      <c r="F9">
        <v>0</v>
      </c>
    </row>
    <row r="10" spans="1:18" x14ac:dyDescent="0.25">
      <c r="A10" t="s">
        <v>27</v>
      </c>
      <c r="B10" s="8">
        <v>0</v>
      </c>
      <c r="D10" t="s">
        <v>5</v>
      </c>
      <c r="E10" t="s">
        <v>22</v>
      </c>
      <c r="F10">
        <v>0</v>
      </c>
      <c r="K10" s="4" t="s">
        <v>74</v>
      </c>
      <c r="L10" s="4" t="s">
        <v>26</v>
      </c>
    </row>
    <row r="11" spans="1:18" x14ac:dyDescent="0.25">
      <c r="D11" t="s">
        <v>6</v>
      </c>
      <c r="E11" t="s">
        <v>28</v>
      </c>
      <c r="F11">
        <v>0</v>
      </c>
      <c r="K11" t="s">
        <v>75</v>
      </c>
      <c r="L11">
        <v>1</v>
      </c>
    </row>
    <row r="12" spans="1:18" x14ac:dyDescent="0.25">
      <c r="D12" t="s">
        <v>7</v>
      </c>
      <c r="E12" t="s">
        <v>29</v>
      </c>
      <c r="F12">
        <v>0</v>
      </c>
      <c r="K12" t="s">
        <v>76</v>
      </c>
      <c r="L12">
        <v>0.38200000000000001</v>
      </c>
    </row>
    <row r="13" spans="1:18" x14ac:dyDescent="0.25">
      <c r="D13" t="s">
        <v>30</v>
      </c>
      <c r="E13" t="s">
        <v>28</v>
      </c>
      <c r="F13">
        <v>0</v>
      </c>
      <c r="K13" t="s">
        <v>77</v>
      </c>
      <c r="L13">
        <v>0</v>
      </c>
    </row>
    <row r="14" spans="1:18" x14ac:dyDescent="0.25">
      <c r="K14" t="s">
        <v>78</v>
      </c>
      <c r="L14">
        <v>0</v>
      </c>
    </row>
    <row r="15" spans="1:18" ht="15.75" x14ac:dyDescent="0.25">
      <c r="A15" s="3" t="s">
        <v>31</v>
      </c>
      <c r="K15" t="s">
        <v>79</v>
      </c>
      <c r="L15">
        <v>0</v>
      </c>
    </row>
    <row r="16" spans="1:18" x14ac:dyDescent="0.25">
      <c r="A16" s="5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9" t="s">
        <v>37</v>
      </c>
      <c r="G16" s="9" t="s">
        <v>38</v>
      </c>
      <c r="H16" s="9" t="s">
        <v>39</v>
      </c>
      <c r="K16" s="9" t="s">
        <v>80</v>
      </c>
      <c r="L16">
        <v>0</v>
      </c>
    </row>
    <row r="17" spans="1:12" x14ac:dyDescent="0.25">
      <c r="A17" s="10" t="s">
        <v>40</v>
      </c>
      <c r="B17" s="11">
        <v>188</v>
      </c>
      <c r="C17" s="11">
        <v>188</v>
      </c>
      <c r="D17" s="11">
        <v>188</v>
      </c>
      <c r="E17" s="11">
        <v>188</v>
      </c>
      <c r="F17" s="11">
        <v>188</v>
      </c>
      <c r="G17" s="11">
        <v>188</v>
      </c>
      <c r="H17" s="11">
        <v>188</v>
      </c>
      <c r="K17" t="s">
        <v>81</v>
      </c>
      <c r="L17">
        <v>0</v>
      </c>
    </row>
    <row r="18" spans="1:12" x14ac:dyDescent="0.25">
      <c r="A18" t="s">
        <v>41</v>
      </c>
      <c r="B18" s="13">
        <v>37.090000000000003</v>
      </c>
      <c r="C18" s="14">
        <v>57252.66</v>
      </c>
      <c r="D18" s="14">
        <v>17840.689999999999</v>
      </c>
      <c r="E18" s="15">
        <v>672.03</v>
      </c>
      <c r="F18" s="13">
        <v>8.69</v>
      </c>
      <c r="G18" s="13">
        <v>0.35</v>
      </c>
      <c r="H18" s="13">
        <v>0.16</v>
      </c>
    </row>
    <row r="19" spans="1:12" x14ac:dyDescent="0.25">
      <c r="A19" s="10" t="s">
        <v>42</v>
      </c>
      <c r="B19" s="16">
        <v>9.41</v>
      </c>
      <c r="C19" s="17">
        <v>22036.89</v>
      </c>
      <c r="D19" s="17">
        <v>7027.22</v>
      </c>
      <c r="E19" s="18">
        <v>52.76</v>
      </c>
      <c r="F19" s="16">
        <v>6.18</v>
      </c>
      <c r="G19" s="16">
        <v>0.1</v>
      </c>
      <c r="H19" s="16">
        <v>0.37</v>
      </c>
      <c r="K19" s="4" t="s">
        <v>83</v>
      </c>
      <c r="L19" s="4" t="s">
        <v>26</v>
      </c>
    </row>
    <row r="20" spans="1:12" x14ac:dyDescent="0.25">
      <c r="A20" t="s">
        <v>43</v>
      </c>
      <c r="B20" s="12">
        <v>22</v>
      </c>
      <c r="C20" s="14">
        <v>27000</v>
      </c>
      <c r="D20" s="14">
        <v>8000</v>
      </c>
      <c r="E20" s="12">
        <v>575</v>
      </c>
      <c r="F20" s="12">
        <v>1</v>
      </c>
      <c r="G20" s="13">
        <v>0.19</v>
      </c>
      <c r="H20" s="12">
        <v>0</v>
      </c>
      <c r="K20" t="s">
        <v>84</v>
      </c>
      <c r="L20">
        <v>1</v>
      </c>
    </row>
    <row r="21" spans="1:12" x14ac:dyDescent="0.25">
      <c r="A21" s="10" t="s">
        <v>44</v>
      </c>
      <c r="B21" s="16">
        <v>28.75</v>
      </c>
      <c r="C21" s="17">
        <v>36875</v>
      </c>
      <c r="D21" s="17">
        <v>12000</v>
      </c>
      <c r="E21" s="18">
        <v>615.5</v>
      </c>
      <c r="F21" s="11">
        <v>3</v>
      </c>
      <c r="G21" s="16">
        <v>0.27</v>
      </c>
      <c r="H21" s="11">
        <v>0</v>
      </c>
      <c r="K21" t="s">
        <v>85</v>
      </c>
      <c r="L21">
        <v>0.24199999999999999</v>
      </c>
    </row>
    <row r="22" spans="1:12" x14ac:dyDescent="0.25">
      <c r="A22" t="s">
        <v>45</v>
      </c>
      <c r="B22" s="15">
        <v>36.5</v>
      </c>
      <c r="C22" s="14">
        <v>52250</v>
      </c>
      <c r="D22" s="14">
        <v>16250</v>
      </c>
      <c r="E22" s="15">
        <v>685.5</v>
      </c>
      <c r="F22" s="12">
        <v>7</v>
      </c>
      <c r="G22" s="13">
        <v>0.33</v>
      </c>
      <c r="H22" s="12">
        <v>0</v>
      </c>
      <c r="K22" t="s">
        <v>86</v>
      </c>
      <c r="L22">
        <v>0</v>
      </c>
    </row>
    <row r="23" spans="1:12" x14ac:dyDescent="0.25">
      <c r="A23" s="10" t="s">
        <v>46</v>
      </c>
      <c r="B23" s="11">
        <v>45</v>
      </c>
      <c r="C23" s="17">
        <v>76000</v>
      </c>
      <c r="D23" s="17">
        <v>24375</v>
      </c>
      <c r="E23" s="11">
        <v>720</v>
      </c>
      <c r="F23" s="11">
        <v>14</v>
      </c>
      <c r="G23" s="16">
        <v>0.41</v>
      </c>
      <c r="H23" s="11">
        <v>0</v>
      </c>
      <c r="K23" t="s">
        <v>87</v>
      </c>
      <c r="L23">
        <v>0</v>
      </c>
    </row>
    <row r="24" spans="1:12" x14ac:dyDescent="0.25">
      <c r="A24" t="s">
        <v>47</v>
      </c>
      <c r="B24" s="12">
        <v>53</v>
      </c>
      <c r="C24" s="14">
        <v>99000</v>
      </c>
      <c r="D24" s="14">
        <v>32000</v>
      </c>
      <c r="E24" s="12">
        <v>748</v>
      </c>
      <c r="F24" s="12">
        <v>21</v>
      </c>
      <c r="G24" s="13">
        <v>0.56999999999999995</v>
      </c>
      <c r="H24" s="12">
        <v>1</v>
      </c>
    </row>
    <row r="25" spans="1:12" x14ac:dyDescent="0.25">
      <c r="K25" s="4" t="s">
        <v>98</v>
      </c>
      <c r="L25" s="4" t="s">
        <v>26</v>
      </c>
    </row>
    <row r="26" spans="1:12" x14ac:dyDescent="0.25">
      <c r="K26" t="s">
        <v>133</v>
      </c>
      <c r="L26">
        <v>0</v>
      </c>
    </row>
    <row r="27" spans="1:12" ht="15.75" x14ac:dyDescent="0.25">
      <c r="A27" s="3" t="s">
        <v>48</v>
      </c>
      <c r="K27" t="s">
        <v>134</v>
      </c>
      <c r="L27">
        <v>0</v>
      </c>
    </row>
    <row r="28" spans="1:12" x14ac:dyDescent="0.25">
      <c r="A28" s="5" t="s">
        <v>49</v>
      </c>
      <c r="B28" s="9" t="s">
        <v>50</v>
      </c>
      <c r="C28" s="9" t="s">
        <v>51</v>
      </c>
      <c r="D28" s="9" t="s">
        <v>52</v>
      </c>
      <c r="E28" s="9" t="s">
        <v>53</v>
      </c>
      <c r="F28" s="9" t="s">
        <v>54</v>
      </c>
      <c r="G28" s="9" t="s">
        <v>55</v>
      </c>
      <c r="H28" s="9" t="s">
        <v>56</v>
      </c>
      <c r="K28" s="9" t="s">
        <v>135</v>
      </c>
      <c r="L28">
        <v>9.2999999999999999E-2</v>
      </c>
    </row>
    <row r="29" spans="1:12" x14ac:dyDescent="0.25">
      <c r="A29" s="4" t="s">
        <v>57</v>
      </c>
      <c r="B29" s="13">
        <v>40.26</v>
      </c>
      <c r="C29" s="14">
        <v>64077</v>
      </c>
      <c r="D29" s="14">
        <v>19870</v>
      </c>
      <c r="E29" s="15">
        <v>695.85</v>
      </c>
      <c r="F29" s="13">
        <v>10.35</v>
      </c>
      <c r="G29" s="13">
        <v>0.31</v>
      </c>
      <c r="H29" s="13">
        <v>0</v>
      </c>
      <c r="K29" t="s">
        <v>136</v>
      </c>
      <c r="L29">
        <v>1</v>
      </c>
    </row>
    <row r="30" spans="1:12" x14ac:dyDescent="0.25">
      <c r="A30" s="6" t="s">
        <v>58</v>
      </c>
      <c r="B30" s="20">
        <v>24.55</v>
      </c>
      <c r="C30" s="21">
        <v>30316</v>
      </c>
      <c r="D30" s="21">
        <v>10882</v>
      </c>
      <c r="E30" s="22">
        <v>594.67999999999995</v>
      </c>
      <c r="F30" s="20">
        <v>1.42</v>
      </c>
      <c r="G30" s="20">
        <v>0.51</v>
      </c>
      <c r="H30" s="20">
        <v>0.82</v>
      </c>
    </row>
    <row r="31" spans="1:12" x14ac:dyDescent="0.25">
      <c r="A31" s="24" t="s">
        <v>59</v>
      </c>
      <c r="B31" s="25">
        <v>-15.71</v>
      </c>
      <c r="C31" s="26">
        <v>-33761</v>
      </c>
      <c r="D31" s="26">
        <v>-8988</v>
      </c>
      <c r="E31" s="27">
        <v>-101.17</v>
      </c>
      <c r="F31" s="25">
        <v>-8.93</v>
      </c>
      <c r="G31" s="28">
        <v>0.2</v>
      </c>
      <c r="H31" s="28">
        <v>0.82</v>
      </c>
      <c r="K31" s="4" t="s">
        <v>89</v>
      </c>
      <c r="L31" s="4" t="s">
        <v>26</v>
      </c>
    </row>
    <row r="32" spans="1:12" x14ac:dyDescent="0.25">
      <c r="K32" t="s">
        <v>92</v>
      </c>
      <c r="L32">
        <v>0.94899999999999995</v>
      </c>
    </row>
    <row r="33" spans="1:13" ht="15.75" x14ac:dyDescent="0.25">
      <c r="A33" s="3" t="s">
        <v>60</v>
      </c>
      <c r="K33" t="s">
        <v>93</v>
      </c>
      <c r="L33">
        <v>2.5999999999999999E-2</v>
      </c>
    </row>
    <row r="34" spans="1:13" x14ac:dyDescent="0.25">
      <c r="A34" s="29"/>
      <c r="B34" s="9" t="s">
        <v>33</v>
      </c>
      <c r="C34" s="9" t="s">
        <v>34</v>
      </c>
      <c r="D34" s="9" t="s">
        <v>61</v>
      </c>
      <c r="E34" s="9" t="s">
        <v>36</v>
      </c>
      <c r="F34" s="9" t="s">
        <v>62</v>
      </c>
      <c r="G34" s="9" t="s">
        <v>63</v>
      </c>
      <c r="H34" s="9" t="s">
        <v>64</v>
      </c>
      <c r="I34" s="9" t="s">
        <v>65</v>
      </c>
      <c r="K34" s="9" t="s">
        <v>94</v>
      </c>
      <c r="L34">
        <v>0</v>
      </c>
    </row>
    <row r="35" spans="1:13" x14ac:dyDescent="0.25">
      <c r="A35" s="5" t="s">
        <v>33</v>
      </c>
      <c r="B35" s="30">
        <v>1</v>
      </c>
      <c r="C35" s="31">
        <v>0.995</v>
      </c>
      <c r="D35" s="32">
        <v>0.97199999999999998</v>
      </c>
      <c r="E35" s="33">
        <v>0.98</v>
      </c>
      <c r="F35" s="34">
        <v>0.98299999999999998</v>
      </c>
      <c r="G35" s="35">
        <v>-0.97</v>
      </c>
      <c r="H35" s="36">
        <v>-0.61799999999999999</v>
      </c>
      <c r="I35" s="37">
        <v>-0.67200000000000004</v>
      </c>
      <c r="K35" t="s">
        <v>95</v>
      </c>
      <c r="L35">
        <v>0</v>
      </c>
    </row>
    <row r="36" spans="1:13" x14ac:dyDescent="0.25">
      <c r="A36" s="5" t="s">
        <v>34</v>
      </c>
      <c r="B36" s="31">
        <v>0.995</v>
      </c>
      <c r="C36" s="30">
        <v>1</v>
      </c>
      <c r="D36" s="38">
        <v>0.98399999999999999</v>
      </c>
      <c r="E36" s="39">
        <v>0.96</v>
      </c>
      <c r="F36" s="40">
        <v>0.99299999999999999</v>
      </c>
      <c r="G36" s="41">
        <v>-0.94699999999999995</v>
      </c>
      <c r="H36" s="42">
        <v>-0.56100000000000005</v>
      </c>
      <c r="I36" s="36">
        <v>-0.61699999999999999</v>
      </c>
      <c r="K36" t="s">
        <v>96</v>
      </c>
      <c r="L36">
        <v>0</v>
      </c>
    </row>
    <row r="37" spans="1:13" x14ac:dyDescent="0.25">
      <c r="A37" s="5" t="s">
        <v>61</v>
      </c>
      <c r="B37" s="32">
        <v>0.97199999999999998</v>
      </c>
      <c r="C37" s="38">
        <v>0.98399999999999999</v>
      </c>
      <c r="D37" s="30">
        <v>1</v>
      </c>
      <c r="E37" s="43">
        <v>0.94899999999999995</v>
      </c>
      <c r="F37" s="44">
        <v>0.98499999999999999</v>
      </c>
      <c r="G37" s="45">
        <v>-0.92600000000000005</v>
      </c>
      <c r="H37" s="46">
        <v>-0.48</v>
      </c>
      <c r="I37" s="47">
        <v>-0.51200000000000001</v>
      </c>
    </row>
    <row r="38" spans="1:13" x14ac:dyDescent="0.25">
      <c r="A38" s="5" t="s">
        <v>36</v>
      </c>
      <c r="B38" s="33">
        <v>0.98</v>
      </c>
      <c r="C38" s="39">
        <v>0.96</v>
      </c>
      <c r="D38" s="43">
        <v>0.94899999999999995</v>
      </c>
      <c r="E38" s="30">
        <v>1</v>
      </c>
      <c r="F38" s="48">
        <v>0.94599999999999995</v>
      </c>
      <c r="G38" s="49">
        <v>-0.99099999999999999</v>
      </c>
      <c r="H38" s="50">
        <v>-0.71599999999999997</v>
      </c>
      <c r="I38" s="51">
        <v>-0.77600000000000002</v>
      </c>
      <c r="K38" s="4" t="s">
        <v>115</v>
      </c>
      <c r="L38" s="4" t="s">
        <v>26</v>
      </c>
      <c r="M38" s="4" t="s">
        <v>40</v>
      </c>
    </row>
    <row r="39" spans="1:13" x14ac:dyDescent="0.25">
      <c r="A39" s="5" t="s">
        <v>62</v>
      </c>
      <c r="B39" s="34">
        <v>0.98299999999999998</v>
      </c>
      <c r="C39" s="40">
        <v>0.99299999999999999</v>
      </c>
      <c r="D39" s="44">
        <v>0.98499999999999999</v>
      </c>
      <c r="E39" s="48">
        <v>0.94599999999999995</v>
      </c>
      <c r="F39" s="30">
        <v>1</v>
      </c>
      <c r="G39" s="52">
        <v>-0.92900000000000005</v>
      </c>
      <c r="H39" s="53">
        <v>-0.51900000000000002</v>
      </c>
      <c r="I39" s="54">
        <v>-0.57499999999999996</v>
      </c>
      <c r="K39" t="s">
        <v>137</v>
      </c>
      <c r="L39">
        <v>4.4999999999999998E-2</v>
      </c>
      <c r="M39">
        <v>157</v>
      </c>
    </row>
    <row r="40" spans="1:13" x14ac:dyDescent="0.25">
      <c r="A40" s="5" t="s">
        <v>63</v>
      </c>
      <c r="B40" s="35">
        <v>-0.97</v>
      </c>
      <c r="C40" s="41">
        <v>-0.94699999999999995</v>
      </c>
      <c r="D40" s="45">
        <v>-0.92600000000000005</v>
      </c>
      <c r="E40" s="49">
        <v>-0.99099999999999999</v>
      </c>
      <c r="F40" s="52">
        <v>-0.92900000000000005</v>
      </c>
      <c r="G40" s="30">
        <v>1</v>
      </c>
      <c r="H40" s="55">
        <v>0.76100000000000001</v>
      </c>
      <c r="I40" s="56">
        <v>0.80100000000000005</v>
      </c>
      <c r="K40" t="s">
        <v>138</v>
      </c>
      <c r="L40">
        <v>1</v>
      </c>
      <c r="M40">
        <v>31</v>
      </c>
    </row>
    <row r="41" spans="1:13" x14ac:dyDescent="0.25">
      <c r="A41" s="5" t="s">
        <v>64</v>
      </c>
      <c r="B41" s="36">
        <v>-0.61799999999999999</v>
      </c>
      <c r="C41" s="42">
        <v>-0.56100000000000005</v>
      </c>
      <c r="D41" s="46">
        <v>-0.48</v>
      </c>
      <c r="E41" s="50">
        <v>-0.71599999999999997</v>
      </c>
      <c r="F41" s="53">
        <v>-0.51900000000000002</v>
      </c>
      <c r="G41" s="55">
        <v>0.76100000000000001</v>
      </c>
      <c r="H41" s="30">
        <v>1</v>
      </c>
      <c r="I41" s="31">
        <v>0.88300000000000001</v>
      </c>
    </row>
    <row r="42" spans="1:13" x14ac:dyDescent="0.25">
      <c r="A42" s="5" t="s">
        <v>65</v>
      </c>
      <c r="B42" s="37">
        <v>-0.67200000000000004</v>
      </c>
      <c r="C42" s="36">
        <v>-0.61699999999999999</v>
      </c>
      <c r="D42" s="47">
        <v>-0.51200000000000001</v>
      </c>
      <c r="E42" s="51">
        <v>-0.77600000000000002</v>
      </c>
      <c r="F42" s="54">
        <v>-0.57499999999999996</v>
      </c>
      <c r="G42" s="56">
        <v>0.80100000000000005</v>
      </c>
      <c r="H42" s="31">
        <v>0.88300000000000001</v>
      </c>
      <c r="I42" s="30">
        <v>1</v>
      </c>
    </row>
    <row r="44" spans="1:13" ht="15.75" x14ac:dyDescent="0.25">
      <c r="A44" s="57" t="s">
        <v>66</v>
      </c>
    </row>
    <row r="45" spans="1:13" x14ac:dyDescent="0.25">
      <c r="A45" s="5" t="s">
        <v>67</v>
      </c>
      <c r="B45" s="9" t="s">
        <v>40</v>
      </c>
      <c r="C45" s="9" t="s">
        <v>26</v>
      </c>
      <c r="D45" s="9" t="s">
        <v>51</v>
      </c>
      <c r="E45" s="9" t="s">
        <v>52</v>
      </c>
      <c r="F45" s="9" t="s">
        <v>53</v>
      </c>
      <c r="G45" s="9" t="s">
        <v>55</v>
      </c>
    </row>
    <row r="46" spans="1:13" x14ac:dyDescent="0.25">
      <c r="A46" s="5" t="s">
        <v>68</v>
      </c>
      <c r="B46" s="12">
        <v>44</v>
      </c>
      <c r="C46" s="58">
        <v>0</v>
      </c>
      <c r="D46" s="14">
        <v>72682</v>
      </c>
      <c r="E46" s="14">
        <v>22864</v>
      </c>
      <c r="F46" s="15">
        <v>710.7</v>
      </c>
      <c r="G46" s="58">
        <v>0.27500000000000002</v>
      </c>
    </row>
    <row r="47" spans="1:13" x14ac:dyDescent="0.25">
      <c r="A47" s="59" t="s">
        <v>69</v>
      </c>
      <c r="B47" s="11">
        <v>44</v>
      </c>
      <c r="C47" s="60">
        <v>0</v>
      </c>
      <c r="D47" s="17">
        <v>68261</v>
      </c>
      <c r="E47" s="17">
        <v>21295</v>
      </c>
      <c r="F47" s="18">
        <v>702.8</v>
      </c>
      <c r="G47" s="60">
        <v>0.28799999999999998</v>
      </c>
    </row>
    <row r="48" spans="1:13" x14ac:dyDescent="0.25">
      <c r="A48" t="s">
        <v>70</v>
      </c>
      <c r="B48" s="12">
        <v>38</v>
      </c>
      <c r="C48" s="58">
        <v>0</v>
      </c>
      <c r="D48" s="14">
        <v>64645</v>
      </c>
      <c r="E48" s="14">
        <v>19961</v>
      </c>
      <c r="F48" s="15">
        <v>693.4</v>
      </c>
      <c r="G48" s="58">
        <v>0.30299999999999999</v>
      </c>
    </row>
    <row r="49" spans="1:7" x14ac:dyDescent="0.25">
      <c r="A49" s="10" t="s">
        <v>71</v>
      </c>
      <c r="B49" s="11">
        <v>30</v>
      </c>
      <c r="C49" s="62">
        <v>0.23300000000000001</v>
      </c>
      <c r="D49" s="17">
        <v>38417</v>
      </c>
      <c r="E49" s="17">
        <v>11933</v>
      </c>
      <c r="F49" s="18">
        <v>632.9</v>
      </c>
      <c r="G49" s="60">
        <v>0.41199999999999998</v>
      </c>
    </row>
    <row r="50" spans="1:7" x14ac:dyDescent="0.25">
      <c r="A50" t="s">
        <v>72</v>
      </c>
      <c r="B50" s="12">
        <v>32</v>
      </c>
      <c r="C50" s="64">
        <v>0.96899999999999997</v>
      </c>
      <c r="D50" s="14">
        <v>29781</v>
      </c>
      <c r="E50" s="14">
        <v>10672</v>
      </c>
      <c r="F50" s="15">
        <v>588.9</v>
      </c>
      <c r="G50" s="58">
        <v>0.52</v>
      </c>
    </row>
    <row r="53" spans="1:7" ht="15.75" x14ac:dyDescent="0.25">
      <c r="A53" s="3" t="s">
        <v>73</v>
      </c>
    </row>
    <row r="54" spans="1:7" x14ac:dyDescent="0.25">
      <c r="A54" s="5" t="s">
        <v>74</v>
      </c>
      <c r="B54" s="9" t="s">
        <v>40</v>
      </c>
      <c r="C54" s="9" t="s">
        <v>26</v>
      </c>
      <c r="D54" s="9" t="s">
        <v>51</v>
      </c>
      <c r="E54" s="9" t="s">
        <v>53</v>
      </c>
    </row>
    <row r="55" spans="1:7" x14ac:dyDescent="0.25">
      <c r="A55" t="s">
        <v>75</v>
      </c>
      <c r="B55" s="12">
        <v>25</v>
      </c>
      <c r="C55" s="64">
        <v>1</v>
      </c>
      <c r="D55" s="14">
        <v>28940</v>
      </c>
      <c r="E55" s="15">
        <v>584</v>
      </c>
    </row>
    <row r="56" spans="1:7" x14ac:dyDescent="0.25">
      <c r="A56" s="10" t="s">
        <v>76</v>
      </c>
      <c r="B56" s="11">
        <v>34</v>
      </c>
      <c r="C56" s="62">
        <v>0.38200000000000001</v>
      </c>
      <c r="D56" s="17">
        <v>35662</v>
      </c>
      <c r="E56" s="18">
        <v>620.29999999999995</v>
      </c>
    </row>
    <row r="57" spans="1:7" x14ac:dyDescent="0.25">
      <c r="A57" t="s">
        <v>77</v>
      </c>
      <c r="B57" s="12">
        <v>30</v>
      </c>
      <c r="C57" s="58">
        <v>0</v>
      </c>
      <c r="D57" s="14">
        <v>45183</v>
      </c>
      <c r="E57" s="15">
        <v>663.4</v>
      </c>
    </row>
    <row r="58" spans="1:7" x14ac:dyDescent="0.25">
      <c r="A58" s="10" t="s">
        <v>78</v>
      </c>
      <c r="B58" s="11">
        <v>23</v>
      </c>
      <c r="C58" s="60">
        <v>0</v>
      </c>
      <c r="D58" s="17">
        <v>57913</v>
      </c>
      <c r="E58" s="18">
        <v>687.6</v>
      </c>
    </row>
    <row r="59" spans="1:7" x14ac:dyDescent="0.25">
      <c r="A59" t="s">
        <v>79</v>
      </c>
      <c r="B59" s="12">
        <v>30</v>
      </c>
      <c r="C59" s="58">
        <v>0</v>
      </c>
      <c r="D59" s="14">
        <v>70583</v>
      </c>
      <c r="E59" s="15">
        <v>707.2</v>
      </c>
    </row>
    <row r="60" spans="1:7" x14ac:dyDescent="0.25">
      <c r="A60" s="10" t="s">
        <v>80</v>
      </c>
      <c r="B60" s="11">
        <v>29</v>
      </c>
      <c r="C60" s="60">
        <v>0</v>
      </c>
      <c r="D60" s="17">
        <v>83362</v>
      </c>
      <c r="E60" s="18">
        <v>727.8</v>
      </c>
    </row>
    <row r="61" spans="1:7" x14ac:dyDescent="0.25">
      <c r="A61" t="s">
        <v>81</v>
      </c>
      <c r="B61" s="12">
        <v>17</v>
      </c>
      <c r="C61" s="58">
        <v>0</v>
      </c>
      <c r="D61" s="14">
        <v>94412</v>
      </c>
      <c r="E61" s="15">
        <v>743.7</v>
      </c>
    </row>
    <row r="64" spans="1:7" ht="15.75" x14ac:dyDescent="0.25">
      <c r="A64" s="3" t="s">
        <v>82</v>
      </c>
    </row>
    <row r="65" spans="1:7" x14ac:dyDescent="0.25">
      <c r="A65" s="5" t="s">
        <v>83</v>
      </c>
      <c r="B65" s="9" t="s">
        <v>40</v>
      </c>
      <c r="C65" s="9" t="s">
        <v>26</v>
      </c>
      <c r="D65" s="9" t="s">
        <v>51</v>
      </c>
      <c r="E65" s="9" t="s">
        <v>55</v>
      </c>
    </row>
    <row r="66" spans="1:7" x14ac:dyDescent="0.25">
      <c r="A66" t="s">
        <v>84</v>
      </c>
      <c r="B66" s="12">
        <v>30</v>
      </c>
      <c r="C66" s="64">
        <v>1</v>
      </c>
      <c r="D66" s="14">
        <v>29500</v>
      </c>
      <c r="E66" s="58">
        <v>0.52700000000000002</v>
      </c>
    </row>
    <row r="67" spans="1:7" x14ac:dyDescent="0.25">
      <c r="A67" s="10" t="s">
        <v>85</v>
      </c>
      <c r="B67" s="11">
        <v>33</v>
      </c>
      <c r="C67" s="62">
        <v>0.24199999999999999</v>
      </c>
      <c r="D67" s="17">
        <v>36879</v>
      </c>
      <c r="E67" s="60">
        <v>0.41899999999999998</v>
      </c>
    </row>
    <row r="68" spans="1:7" x14ac:dyDescent="0.25">
      <c r="A68" t="s">
        <v>86</v>
      </c>
      <c r="B68" s="12">
        <v>58</v>
      </c>
      <c r="C68" s="58">
        <v>0</v>
      </c>
      <c r="D68" s="14">
        <v>53793</v>
      </c>
      <c r="E68" s="58">
        <v>0.33200000000000002</v>
      </c>
    </row>
    <row r="69" spans="1:7" x14ac:dyDescent="0.25">
      <c r="A69" s="10" t="s">
        <v>87</v>
      </c>
      <c r="B69" s="11">
        <v>67</v>
      </c>
      <c r="C69" s="60">
        <v>0</v>
      </c>
      <c r="D69" s="17">
        <v>82709</v>
      </c>
      <c r="E69" s="60">
        <v>0.24399999999999999</v>
      </c>
    </row>
    <row r="71" spans="1:7" ht="15.75" x14ac:dyDescent="0.25">
      <c r="A71" s="65" t="s">
        <v>88</v>
      </c>
    </row>
    <row r="72" spans="1:7" x14ac:dyDescent="0.25">
      <c r="A72" s="5" t="s">
        <v>89</v>
      </c>
      <c r="B72" s="9" t="s">
        <v>40</v>
      </c>
      <c r="C72" s="9" t="s">
        <v>26</v>
      </c>
      <c r="D72" s="9" t="s">
        <v>53</v>
      </c>
      <c r="E72" s="9" t="s">
        <v>55</v>
      </c>
      <c r="F72" s="9" t="s">
        <v>90</v>
      </c>
      <c r="G72" s="9" t="s">
        <v>91</v>
      </c>
    </row>
    <row r="73" spans="1:7" x14ac:dyDescent="0.25">
      <c r="A73" t="s">
        <v>92</v>
      </c>
      <c r="B73" s="12">
        <v>39</v>
      </c>
      <c r="C73" s="64">
        <v>0.94899999999999995</v>
      </c>
      <c r="D73" s="15">
        <v>593.29999999999995</v>
      </c>
      <c r="E73" s="58">
        <v>0.50700000000000001</v>
      </c>
      <c r="F73" s="14">
        <v>27000</v>
      </c>
      <c r="G73" s="14">
        <v>34500</v>
      </c>
    </row>
    <row r="74" spans="1:7" x14ac:dyDescent="0.25">
      <c r="A74" s="10" t="s">
        <v>93</v>
      </c>
      <c r="B74" s="11">
        <v>38</v>
      </c>
      <c r="C74" s="60">
        <v>2.5999999999999999E-2</v>
      </c>
      <c r="D74" s="18">
        <v>641.4</v>
      </c>
      <c r="E74" s="60">
        <v>0.38400000000000001</v>
      </c>
      <c r="F74" s="17">
        <v>35000</v>
      </c>
      <c r="G74" s="17">
        <v>45000</v>
      </c>
    </row>
    <row r="75" spans="1:7" x14ac:dyDescent="0.25">
      <c r="A75" t="s">
        <v>94</v>
      </c>
      <c r="B75" s="12">
        <v>36</v>
      </c>
      <c r="C75" s="58">
        <v>0</v>
      </c>
      <c r="D75" s="15">
        <v>683.6</v>
      </c>
      <c r="E75" s="58">
        <v>0.32200000000000001</v>
      </c>
      <c r="F75" s="14">
        <v>46000</v>
      </c>
      <c r="G75" s="14">
        <v>65000</v>
      </c>
    </row>
    <row r="76" spans="1:7" x14ac:dyDescent="0.25">
      <c r="A76" s="10" t="s">
        <v>95</v>
      </c>
      <c r="B76" s="11">
        <v>38</v>
      </c>
      <c r="C76" s="60">
        <v>0</v>
      </c>
      <c r="D76" s="18">
        <v>718.2</v>
      </c>
      <c r="E76" s="60">
        <v>0.27100000000000002</v>
      </c>
      <c r="F76" s="17">
        <v>65500</v>
      </c>
      <c r="G76" s="17">
        <v>80000</v>
      </c>
    </row>
    <row r="77" spans="1:7" x14ac:dyDescent="0.25">
      <c r="A77" t="s">
        <v>96</v>
      </c>
      <c r="B77" s="12">
        <v>37</v>
      </c>
      <c r="C77" s="58">
        <v>0</v>
      </c>
      <c r="D77" s="15">
        <v>739.5</v>
      </c>
      <c r="E77" s="58">
        <v>0.224</v>
      </c>
      <c r="F77" s="14">
        <v>81000</v>
      </c>
      <c r="G77" s="14">
        <v>99000</v>
      </c>
    </row>
    <row r="80" spans="1:7" ht="15.75" x14ac:dyDescent="0.25">
      <c r="A80" s="3" t="s">
        <v>97</v>
      </c>
    </row>
    <row r="81" spans="1:8" x14ac:dyDescent="0.25">
      <c r="A81" s="5" t="s">
        <v>98</v>
      </c>
      <c r="B81" s="9" t="s">
        <v>40</v>
      </c>
      <c r="C81" s="9" t="s">
        <v>26</v>
      </c>
      <c r="D81" s="9" t="s">
        <v>53</v>
      </c>
      <c r="E81" s="9" t="s">
        <v>51</v>
      </c>
    </row>
    <row r="82" spans="1:8" x14ac:dyDescent="0.25">
      <c r="A82" t="s">
        <v>99</v>
      </c>
      <c r="B82" s="12">
        <v>36</v>
      </c>
      <c r="C82" s="58">
        <v>0</v>
      </c>
      <c r="D82" s="15">
        <v>737.1</v>
      </c>
      <c r="E82" s="14">
        <v>89708</v>
      </c>
    </row>
    <row r="83" spans="1:8" x14ac:dyDescent="0.25">
      <c r="A83" s="10" t="s">
        <v>100</v>
      </c>
      <c r="B83" s="11">
        <v>75</v>
      </c>
      <c r="C83" s="60">
        <v>0</v>
      </c>
      <c r="D83" s="18">
        <v>698.1</v>
      </c>
      <c r="E83" s="17">
        <v>64247</v>
      </c>
    </row>
    <row r="84" spans="1:8" x14ac:dyDescent="0.25">
      <c r="A84" t="s">
        <v>101</v>
      </c>
      <c r="B84" s="12">
        <v>43</v>
      </c>
      <c r="C84" s="67">
        <v>9.2999999999999999E-2</v>
      </c>
      <c r="D84" s="15">
        <v>638.79999999999995</v>
      </c>
      <c r="E84" s="14">
        <v>39500</v>
      </c>
    </row>
    <row r="85" spans="1:8" x14ac:dyDescent="0.25">
      <c r="A85" s="10" t="s">
        <v>102</v>
      </c>
      <c r="B85" s="11">
        <v>34</v>
      </c>
      <c r="C85" s="64">
        <v>1</v>
      </c>
      <c r="D85" s="18">
        <v>588.4</v>
      </c>
      <c r="E85" s="17">
        <v>29912</v>
      </c>
    </row>
    <row r="88" spans="1:8" ht="15.75" x14ac:dyDescent="0.25">
      <c r="A88" s="3" t="s">
        <v>103</v>
      </c>
    </row>
    <row r="89" spans="1:8" x14ac:dyDescent="0.25">
      <c r="A89" s="5" t="s">
        <v>39</v>
      </c>
      <c r="B89" s="9" t="s">
        <v>40</v>
      </c>
      <c r="C89" s="9" t="s">
        <v>26</v>
      </c>
      <c r="D89" s="9" t="s">
        <v>53</v>
      </c>
      <c r="E89" s="9" t="s">
        <v>51</v>
      </c>
      <c r="F89" s="9" t="s">
        <v>55</v>
      </c>
    </row>
    <row r="90" spans="1:8" x14ac:dyDescent="0.25">
      <c r="A90" t="s">
        <v>104</v>
      </c>
      <c r="B90" s="12">
        <v>157</v>
      </c>
      <c r="C90" s="58">
        <v>4.4999999999999998E-2</v>
      </c>
      <c r="D90" s="15">
        <v>689</v>
      </c>
      <c r="E90" s="14">
        <v>62729</v>
      </c>
      <c r="F90" s="58">
        <v>0.312</v>
      </c>
    </row>
    <row r="91" spans="1:8" x14ac:dyDescent="0.25">
      <c r="A91" s="10" t="s">
        <v>105</v>
      </c>
      <c r="B91" s="11">
        <v>31</v>
      </c>
      <c r="C91" s="64">
        <v>1</v>
      </c>
      <c r="D91" s="18">
        <v>587</v>
      </c>
      <c r="E91" s="17">
        <v>29516</v>
      </c>
      <c r="F91" s="60">
        <v>0.52500000000000002</v>
      </c>
    </row>
    <row r="93" spans="1:8" x14ac:dyDescent="0.25">
      <c r="A93" s="68" t="s">
        <v>106</v>
      </c>
    </row>
    <row r="95" spans="1:8" ht="18.75" x14ac:dyDescent="0.3">
      <c r="A95" s="69" t="s">
        <v>107</v>
      </c>
      <c r="B95" s="2"/>
      <c r="C95" s="2"/>
      <c r="D95" s="2"/>
      <c r="E95" s="2"/>
      <c r="F95" s="2"/>
      <c r="G95" s="2"/>
      <c r="H95" s="2"/>
    </row>
    <row r="97" spans="1:8" x14ac:dyDescent="0.25">
      <c r="A97" s="9" t="s">
        <v>108</v>
      </c>
      <c r="B97" s="5" t="s">
        <v>109</v>
      </c>
      <c r="C97" s="5" t="s">
        <v>110</v>
      </c>
      <c r="H97" s="9" t="s">
        <v>111</v>
      </c>
    </row>
    <row r="98" spans="1:8" x14ac:dyDescent="0.25">
      <c r="A98" s="70">
        <v>1</v>
      </c>
      <c r="B98" t="s">
        <v>112</v>
      </c>
      <c r="C98" t="s">
        <v>113</v>
      </c>
      <c r="H98" s="12" t="s">
        <v>114</v>
      </c>
    </row>
    <row r="99" spans="1:8" x14ac:dyDescent="0.25">
      <c r="A99" s="70">
        <v>2</v>
      </c>
      <c r="B99" s="6" t="s">
        <v>115</v>
      </c>
      <c r="C99" t="s">
        <v>116</v>
      </c>
      <c r="H99" s="66" t="s">
        <v>117</v>
      </c>
    </row>
    <row r="100" spans="1:8" x14ac:dyDescent="0.25">
      <c r="A100" s="70">
        <v>3</v>
      </c>
      <c r="B100" t="s">
        <v>118</v>
      </c>
      <c r="C100" t="s">
        <v>119</v>
      </c>
      <c r="H100" s="66" t="s">
        <v>117</v>
      </c>
    </row>
    <row r="101" spans="1:8" x14ac:dyDescent="0.25">
      <c r="A101" s="70">
        <v>4</v>
      </c>
      <c r="B101" t="s">
        <v>36</v>
      </c>
      <c r="C101" t="s">
        <v>120</v>
      </c>
      <c r="H101" s="66" t="s">
        <v>117</v>
      </c>
    </row>
    <row r="102" spans="1:8" x14ac:dyDescent="0.25">
      <c r="A102" s="70">
        <v>5</v>
      </c>
      <c r="B102" t="s">
        <v>121</v>
      </c>
      <c r="C102" t="s">
        <v>122</v>
      </c>
      <c r="H102" s="66" t="s">
        <v>117</v>
      </c>
    </row>
    <row r="103" spans="1:8" x14ac:dyDescent="0.25">
      <c r="A103" s="70">
        <v>6</v>
      </c>
      <c r="B103" t="s">
        <v>67</v>
      </c>
      <c r="C103" t="s">
        <v>123</v>
      </c>
      <c r="H103" s="66" t="s">
        <v>117</v>
      </c>
    </row>
    <row r="104" spans="1:8" x14ac:dyDescent="0.25">
      <c r="A104" s="70">
        <v>7</v>
      </c>
      <c r="B104" t="s">
        <v>34</v>
      </c>
      <c r="C104" t="s">
        <v>124</v>
      </c>
      <c r="H104" s="66" t="s">
        <v>125</v>
      </c>
    </row>
    <row r="105" spans="1:8" x14ac:dyDescent="0.25">
      <c r="A105" s="70">
        <v>8</v>
      </c>
      <c r="B105" t="s">
        <v>126</v>
      </c>
      <c r="C105" t="s">
        <v>127</v>
      </c>
      <c r="H105" s="66" t="s">
        <v>114</v>
      </c>
    </row>
    <row r="106" spans="1:8" x14ac:dyDescent="0.25">
      <c r="A106" s="70">
        <v>9</v>
      </c>
      <c r="B106" t="s">
        <v>128</v>
      </c>
      <c r="C106" t="s">
        <v>129</v>
      </c>
      <c r="H106" s="71" t="s">
        <v>130</v>
      </c>
    </row>
    <row r="108" spans="1:8" x14ac:dyDescent="0.25">
      <c r="A108" s="72" t="s">
        <v>131</v>
      </c>
    </row>
    <row r="110" spans="1:8" ht="18.75" x14ac:dyDescent="0.3">
      <c r="A110" s="69" t="s">
        <v>139</v>
      </c>
      <c r="B110" s="2"/>
      <c r="C110" s="2"/>
      <c r="D110" s="2"/>
      <c r="E110" s="2"/>
      <c r="F110" s="2"/>
      <c r="G110" s="2"/>
      <c r="H110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A610-AF40-45D1-AEC7-9CC615E8D437}">
  <sheetPr>
    <tabColor rgb="FF833C0B"/>
  </sheetPr>
  <dimension ref="A1:J118"/>
  <sheetViews>
    <sheetView topLeftCell="A161" workbookViewId="0">
      <selection activeCell="G60" sqref="G60"/>
    </sheetView>
  </sheetViews>
  <sheetFormatPr defaultRowHeight="15" x14ac:dyDescent="0.25"/>
  <cols>
    <col min="1" max="1" width="27.5703125" customWidth="1"/>
    <col min="2" max="10" width="20" customWidth="1"/>
    <col min="12" max="26" width="9.140625" customWidth="1"/>
  </cols>
  <sheetData>
    <row r="1" spans="1:10" ht="21" x14ac:dyDescent="0.35">
      <c r="A1" s="73" t="s">
        <v>140</v>
      </c>
      <c r="B1" s="74"/>
      <c r="C1" s="74"/>
      <c r="D1" s="74"/>
      <c r="E1" s="74"/>
      <c r="F1" s="74"/>
      <c r="G1" s="74"/>
      <c r="H1" s="74"/>
      <c r="I1" s="74"/>
      <c r="J1" s="74"/>
    </row>
    <row r="3" spans="1:10" ht="15.75" x14ac:dyDescent="0.25">
      <c r="A3" s="75" t="s">
        <v>141</v>
      </c>
    </row>
    <row r="4" spans="1:10" x14ac:dyDescent="0.25">
      <c r="A4" s="76" t="s">
        <v>142</v>
      </c>
      <c r="B4" s="77" t="s">
        <v>143</v>
      </c>
    </row>
    <row r="5" spans="1:10" x14ac:dyDescent="0.25">
      <c r="A5" s="4" t="s">
        <v>144</v>
      </c>
      <c r="B5" t="s">
        <v>145</v>
      </c>
    </row>
    <row r="6" spans="1:10" x14ac:dyDescent="0.25">
      <c r="A6" s="76" t="s">
        <v>146</v>
      </c>
      <c r="B6" s="77" t="s">
        <v>147</v>
      </c>
    </row>
    <row r="7" spans="1:10" x14ac:dyDescent="0.25">
      <c r="A7" s="4" t="s">
        <v>148</v>
      </c>
      <c r="B7" t="s">
        <v>149</v>
      </c>
    </row>
    <row r="8" spans="1:10" x14ac:dyDescent="0.25">
      <c r="A8" s="76" t="s">
        <v>150</v>
      </c>
      <c r="B8" s="77" t="s">
        <v>151</v>
      </c>
    </row>
    <row r="11" spans="1:10" ht="15.75" x14ac:dyDescent="0.25">
      <c r="A11" s="75" t="s">
        <v>152</v>
      </c>
    </row>
    <row r="12" spans="1:10" x14ac:dyDescent="0.25">
      <c r="A12" s="78" t="s">
        <v>18</v>
      </c>
      <c r="B12" s="79" t="s">
        <v>153</v>
      </c>
      <c r="C12" s="79" t="s">
        <v>154</v>
      </c>
      <c r="D12" s="79" t="s">
        <v>155</v>
      </c>
      <c r="E12" s="79" t="s">
        <v>156</v>
      </c>
      <c r="F12" s="79" t="s">
        <v>157</v>
      </c>
      <c r="G12" s="79" t="s">
        <v>155</v>
      </c>
      <c r="H12" s="79" t="s">
        <v>158</v>
      </c>
      <c r="I12" s="79" t="s">
        <v>159</v>
      </c>
      <c r="J12" s="79" t="s">
        <v>155</v>
      </c>
    </row>
    <row r="13" spans="1:10" x14ac:dyDescent="0.25">
      <c r="A13" t="s">
        <v>0</v>
      </c>
      <c r="B13" s="80">
        <v>0.94359999999999999</v>
      </c>
      <c r="C13" s="80">
        <v>0</v>
      </c>
      <c r="D13" s="66" t="s">
        <v>137</v>
      </c>
      <c r="E13" s="80">
        <v>0.91149999999999998</v>
      </c>
      <c r="F13" s="80">
        <v>5.4999999999999997E-3</v>
      </c>
      <c r="G13" s="66" t="s">
        <v>137</v>
      </c>
      <c r="H13" s="80">
        <v>0.94489999999999996</v>
      </c>
      <c r="I13" s="80">
        <v>0</v>
      </c>
      <c r="J13" s="66" t="s">
        <v>137</v>
      </c>
    </row>
    <row r="14" spans="1:10" x14ac:dyDescent="0.25">
      <c r="A14" s="10" t="s">
        <v>1</v>
      </c>
      <c r="B14" s="81">
        <v>0.92479999999999996</v>
      </c>
      <c r="C14" s="81">
        <v>0</v>
      </c>
      <c r="D14" s="61" t="s">
        <v>137</v>
      </c>
      <c r="E14" s="81">
        <v>0.95169999999999999</v>
      </c>
      <c r="F14" s="81">
        <v>0.1013</v>
      </c>
      <c r="G14" s="82" t="s">
        <v>138</v>
      </c>
      <c r="H14" s="81">
        <v>0.94059999999999999</v>
      </c>
      <c r="I14" s="81">
        <v>0</v>
      </c>
      <c r="J14" s="61" t="s">
        <v>137</v>
      </c>
    </row>
    <row r="15" spans="1:10" x14ac:dyDescent="0.25">
      <c r="A15" t="s">
        <v>2</v>
      </c>
      <c r="B15" s="80">
        <v>0.92510000000000003</v>
      </c>
      <c r="C15" s="80">
        <v>0</v>
      </c>
      <c r="D15" s="66" t="s">
        <v>137</v>
      </c>
      <c r="E15" s="80">
        <v>0.9577</v>
      </c>
      <c r="F15" s="80">
        <v>0.16020000000000001</v>
      </c>
      <c r="G15" s="71" t="s">
        <v>138</v>
      </c>
      <c r="H15" s="80">
        <v>0.95920000000000005</v>
      </c>
      <c r="I15" s="80">
        <v>2.0000000000000001E-4</v>
      </c>
      <c r="J15" s="66" t="s">
        <v>137</v>
      </c>
    </row>
    <row r="16" spans="1:10" x14ac:dyDescent="0.25">
      <c r="A16" s="10" t="s">
        <v>3</v>
      </c>
      <c r="B16" s="81">
        <v>0.92749999999999999</v>
      </c>
      <c r="C16" s="81">
        <v>0</v>
      </c>
      <c r="D16" s="61" t="s">
        <v>137</v>
      </c>
      <c r="E16" s="81">
        <v>0.94399999999999995</v>
      </c>
      <c r="F16" s="81">
        <v>5.6599999999999998E-2</v>
      </c>
      <c r="G16" s="82" t="s">
        <v>138</v>
      </c>
      <c r="H16" s="81">
        <v>0.95409999999999995</v>
      </c>
      <c r="I16" s="81">
        <v>1E-4</v>
      </c>
      <c r="J16" s="61" t="s">
        <v>137</v>
      </c>
    </row>
    <row r="17" spans="1:10" x14ac:dyDescent="0.25">
      <c r="A17" t="s">
        <v>4</v>
      </c>
      <c r="B17" s="80">
        <v>0.90910000000000002</v>
      </c>
      <c r="C17" s="80">
        <v>0</v>
      </c>
      <c r="D17" s="66" t="s">
        <v>137</v>
      </c>
      <c r="E17" s="80">
        <v>0.60009999999999997</v>
      </c>
      <c r="F17" s="80">
        <v>0</v>
      </c>
      <c r="G17" s="66" t="s">
        <v>137</v>
      </c>
      <c r="H17" s="80">
        <v>0.93469999999999998</v>
      </c>
      <c r="I17" s="80">
        <v>0</v>
      </c>
      <c r="J17" s="66" t="s">
        <v>137</v>
      </c>
    </row>
    <row r="18" spans="1:10" x14ac:dyDescent="0.25">
      <c r="A18" s="10" t="s">
        <v>5</v>
      </c>
      <c r="B18" s="81">
        <v>0.9425</v>
      </c>
      <c r="C18" s="81">
        <v>0</v>
      </c>
      <c r="D18" s="61" t="s">
        <v>137</v>
      </c>
      <c r="E18" s="81">
        <v>0.93610000000000004</v>
      </c>
      <c r="F18" s="81">
        <v>3.1399999999999997E-2</v>
      </c>
      <c r="G18" s="61" t="s">
        <v>137</v>
      </c>
      <c r="H18" s="81">
        <v>0.96830000000000005</v>
      </c>
      <c r="I18" s="81">
        <v>1.6000000000000001E-3</v>
      </c>
      <c r="J18" s="61" t="s">
        <v>137</v>
      </c>
    </row>
    <row r="19" spans="1:10" x14ac:dyDescent="0.25">
      <c r="A19" s="68" t="s">
        <v>160</v>
      </c>
    </row>
    <row r="21" spans="1:10" ht="15.75" x14ac:dyDescent="0.25">
      <c r="A21" s="75" t="s">
        <v>161</v>
      </c>
    </row>
    <row r="22" spans="1:10" x14ac:dyDescent="0.25">
      <c r="A22" s="78" t="s">
        <v>18</v>
      </c>
      <c r="B22" s="79" t="s">
        <v>162</v>
      </c>
      <c r="C22" s="79" t="s">
        <v>163</v>
      </c>
      <c r="D22" s="79" t="s">
        <v>164</v>
      </c>
      <c r="E22" s="79" t="s">
        <v>165</v>
      </c>
    </row>
    <row r="23" spans="1:10" x14ac:dyDescent="0.25">
      <c r="A23" t="s">
        <v>0</v>
      </c>
      <c r="B23" s="80">
        <v>68.974599999999995</v>
      </c>
      <c r="C23" s="80">
        <v>0</v>
      </c>
      <c r="D23" s="66" t="s">
        <v>137</v>
      </c>
      <c r="E23" s="12" t="s">
        <v>166</v>
      </c>
    </row>
    <row r="24" spans="1:10" x14ac:dyDescent="0.25">
      <c r="A24" s="10" t="s">
        <v>1</v>
      </c>
      <c r="B24" s="81">
        <v>94.667400000000001</v>
      </c>
      <c r="C24" s="81">
        <v>0</v>
      </c>
      <c r="D24" s="61" t="s">
        <v>137</v>
      </c>
      <c r="E24" s="11" t="s">
        <v>166</v>
      </c>
    </row>
    <row r="25" spans="1:10" x14ac:dyDescent="0.25">
      <c r="A25" t="s">
        <v>2</v>
      </c>
      <c r="B25" s="80">
        <v>67.086799999999997</v>
      </c>
      <c r="C25" s="80">
        <v>0</v>
      </c>
      <c r="D25" s="66" t="s">
        <v>137</v>
      </c>
      <c r="E25" s="12" t="s">
        <v>166</v>
      </c>
    </row>
    <row r="26" spans="1:10" x14ac:dyDescent="0.25">
      <c r="A26" s="10" t="s">
        <v>3</v>
      </c>
      <c r="B26" s="81">
        <v>40.390999999999998</v>
      </c>
      <c r="C26" s="81">
        <v>0</v>
      </c>
      <c r="D26" s="61" t="s">
        <v>137</v>
      </c>
      <c r="E26" s="11" t="s">
        <v>166</v>
      </c>
    </row>
    <row r="27" spans="1:10" x14ac:dyDescent="0.25">
      <c r="A27" t="s">
        <v>4</v>
      </c>
      <c r="B27" s="80">
        <v>93.148600000000002</v>
      </c>
      <c r="C27" s="80">
        <v>0</v>
      </c>
      <c r="D27" s="66" t="s">
        <v>137</v>
      </c>
      <c r="E27" s="12" t="s">
        <v>166</v>
      </c>
    </row>
    <row r="28" spans="1:10" x14ac:dyDescent="0.25">
      <c r="A28" s="10" t="s">
        <v>5</v>
      </c>
      <c r="B28" s="81">
        <v>13.8247</v>
      </c>
      <c r="C28" s="81">
        <v>2.9999999999999997E-4</v>
      </c>
      <c r="D28" s="61" t="s">
        <v>137</v>
      </c>
      <c r="E28" s="11" t="s">
        <v>166</v>
      </c>
    </row>
    <row r="29" spans="1:10" x14ac:dyDescent="0.25">
      <c r="A29" s="68" t="s">
        <v>167</v>
      </c>
    </row>
    <row r="31" spans="1:10" ht="15.75" x14ac:dyDescent="0.25">
      <c r="A31" s="75" t="s">
        <v>168</v>
      </c>
    </row>
    <row r="32" spans="1:10" x14ac:dyDescent="0.25">
      <c r="A32" s="78" t="s">
        <v>18</v>
      </c>
      <c r="B32" s="79" t="s">
        <v>169</v>
      </c>
      <c r="C32" s="79" t="s">
        <v>170</v>
      </c>
      <c r="D32" s="79" t="s">
        <v>171</v>
      </c>
      <c r="E32" s="79" t="s">
        <v>163</v>
      </c>
      <c r="F32" s="79" t="s">
        <v>172</v>
      </c>
      <c r="G32" s="79" t="s">
        <v>173</v>
      </c>
      <c r="H32" s="79" t="s">
        <v>174</v>
      </c>
    </row>
    <row r="33" spans="1:8" x14ac:dyDescent="0.25">
      <c r="A33" t="s">
        <v>0</v>
      </c>
      <c r="B33" s="13">
        <v>24.55</v>
      </c>
      <c r="C33" s="13">
        <v>40.26</v>
      </c>
      <c r="D33" s="80">
        <v>-22.707599999999999</v>
      </c>
      <c r="E33" s="83">
        <v>2.7599999999999998E-55</v>
      </c>
      <c r="F33" s="80">
        <v>-2.7938000000000001</v>
      </c>
      <c r="G33" s="66" t="s">
        <v>175</v>
      </c>
      <c r="H33" s="71" t="s">
        <v>176</v>
      </c>
    </row>
    <row r="34" spans="1:8" x14ac:dyDescent="0.25">
      <c r="A34" s="10" t="s">
        <v>1</v>
      </c>
      <c r="B34" s="17">
        <v>30315.79</v>
      </c>
      <c r="C34" s="17">
        <v>64076.67</v>
      </c>
      <c r="D34" s="81">
        <v>-20.7376</v>
      </c>
      <c r="E34" s="84">
        <v>9.8600000000000003E-48</v>
      </c>
      <c r="F34" s="81">
        <v>-2.4441000000000002</v>
      </c>
      <c r="G34" s="61" t="s">
        <v>175</v>
      </c>
      <c r="H34" s="82" t="s">
        <v>176</v>
      </c>
    </row>
    <row r="35" spans="1:8" x14ac:dyDescent="0.25">
      <c r="A35" t="s">
        <v>2</v>
      </c>
      <c r="B35" s="14">
        <v>10881.58</v>
      </c>
      <c r="C35" s="14">
        <v>19870</v>
      </c>
      <c r="D35" s="80">
        <v>-15.1105</v>
      </c>
      <c r="E35" s="83">
        <v>6.0300000000000003E-34</v>
      </c>
      <c r="F35" s="80">
        <v>-1.8424</v>
      </c>
      <c r="G35" s="66" t="s">
        <v>175</v>
      </c>
      <c r="H35" s="71" t="s">
        <v>176</v>
      </c>
    </row>
    <row r="36" spans="1:8" x14ac:dyDescent="0.25">
      <c r="A36" s="10" t="s">
        <v>3</v>
      </c>
      <c r="B36" s="16">
        <v>594.67999999999995</v>
      </c>
      <c r="C36" s="16">
        <v>695.85</v>
      </c>
      <c r="D36" s="81">
        <v>-29.165600000000001</v>
      </c>
      <c r="E36" s="84">
        <v>1.27E-70</v>
      </c>
      <c r="F36" s="81">
        <v>-3.7410999999999999</v>
      </c>
      <c r="G36" s="61" t="s">
        <v>175</v>
      </c>
      <c r="H36" s="82" t="s">
        <v>176</v>
      </c>
    </row>
    <row r="37" spans="1:8" x14ac:dyDescent="0.25">
      <c r="A37" t="s">
        <v>4</v>
      </c>
      <c r="B37" s="13">
        <v>1.42</v>
      </c>
      <c r="C37" s="13">
        <v>10.35</v>
      </c>
      <c r="D37" s="80">
        <v>-18.853899999999999</v>
      </c>
      <c r="E37" s="83">
        <v>3.4000000000000002E-42</v>
      </c>
      <c r="F37" s="80">
        <v>-2.2002000000000002</v>
      </c>
      <c r="G37" s="66" t="s">
        <v>175</v>
      </c>
      <c r="H37" s="71" t="s">
        <v>176</v>
      </c>
    </row>
    <row r="38" spans="1:8" x14ac:dyDescent="0.25">
      <c r="A38" s="10" t="s">
        <v>5</v>
      </c>
      <c r="B38" s="16">
        <v>0.51</v>
      </c>
      <c r="C38" s="16">
        <v>0.31</v>
      </c>
      <c r="D38" s="81">
        <v>24.919899999999998</v>
      </c>
      <c r="E38" s="84">
        <v>7.7399999999999995E-45</v>
      </c>
      <c r="F38" s="81">
        <v>3.7886000000000002</v>
      </c>
      <c r="G38" s="61" t="s">
        <v>175</v>
      </c>
      <c r="H38" s="82" t="s">
        <v>176</v>
      </c>
    </row>
    <row r="39" spans="1:8" x14ac:dyDescent="0.25">
      <c r="A39" s="68" t="s">
        <v>177</v>
      </c>
    </row>
    <row r="42" spans="1:8" ht="15.75" x14ac:dyDescent="0.25">
      <c r="A42" s="75" t="s">
        <v>178</v>
      </c>
    </row>
    <row r="43" spans="1:8" x14ac:dyDescent="0.25">
      <c r="A43" s="78" t="s">
        <v>18</v>
      </c>
      <c r="B43" s="79" t="s">
        <v>179</v>
      </c>
      <c r="C43" s="79" t="s">
        <v>163</v>
      </c>
      <c r="D43" s="79" t="s">
        <v>180</v>
      </c>
      <c r="E43" s="79" t="s">
        <v>173</v>
      </c>
      <c r="F43" s="79" t="s">
        <v>174</v>
      </c>
      <c r="G43" s="79" t="s">
        <v>181</v>
      </c>
    </row>
    <row r="44" spans="1:8" x14ac:dyDescent="0.25">
      <c r="A44" t="s">
        <v>0</v>
      </c>
      <c r="B44" s="13">
        <v>3</v>
      </c>
      <c r="C44" s="83">
        <v>1.9999999999999998E-21</v>
      </c>
      <c r="D44" s="80">
        <v>0.99890000000000001</v>
      </c>
      <c r="E44" s="66" t="s">
        <v>175</v>
      </c>
      <c r="F44" s="71" t="s">
        <v>176</v>
      </c>
      <c r="G44" s="85" t="s">
        <v>176</v>
      </c>
    </row>
    <row r="45" spans="1:8" x14ac:dyDescent="0.25">
      <c r="A45" s="10" t="s">
        <v>1</v>
      </c>
      <c r="B45" s="16">
        <v>12</v>
      </c>
      <c r="C45" s="84">
        <v>2.7799999999999999E-21</v>
      </c>
      <c r="D45" s="81">
        <v>0.99580000000000002</v>
      </c>
      <c r="E45" s="61" t="s">
        <v>175</v>
      </c>
      <c r="F45" s="82" t="s">
        <v>176</v>
      </c>
      <c r="G45" s="86" t="s">
        <v>176</v>
      </c>
    </row>
    <row r="46" spans="1:8" x14ac:dyDescent="0.25">
      <c r="A46" t="s">
        <v>2</v>
      </c>
      <c r="B46" s="13">
        <v>582</v>
      </c>
      <c r="C46" s="83">
        <v>3.7100000000000001E-14</v>
      </c>
      <c r="D46" s="80">
        <v>0.79579999999999995</v>
      </c>
      <c r="E46" s="66" t="s">
        <v>175</v>
      </c>
      <c r="F46" s="71" t="s">
        <v>176</v>
      </c>
      <c r="G46" s="85" t="s">
        <v>176</v>
      </c>
    </row>
    <row r="47" spans="1:8" x14ac:dyDescent="0.25">
      <c r="A47" s="10" t="s">
        <v>3</v>
      </c>
      <c r="B47" s="16">
        <v>0</v>
      </c>
      <c r="C47" s="84">
        <v>1.8999999999999999E-21</v>
      </c>
      <c r="D47" s="81">
        <v>1</v>
      </c>
      <c r="E47" s="61" t="s">
        <v>182</v>
      </c>
      <c r="F47" s="82" t="s">
        <v>176</v>
      </c>
      <c r="G47" s="86" t="s">
        <v>176</v>
      </c>
    </row>
    <row r="48" spans="1:8" x14ac:dyDescent="0.25">
      <c r="A48" t="s">
        <v>4</v>
      </c>
      <c r="B48" s="13">
        <v>58.5</v>
      </c>
      <c r="C48" s="83">
        <v>9.39E-21</v>
      </c>
      <c r="D48" s="80">
        <v>0.97950000000000004</v>
      </c>
      <c r="E48" s="66" t="s">
        <v>175</v>
      </c>
      <c r="F48" s="71" t="s">
        <v>176</v>
      </c>
      <c r="G48" s="85" t="s">
        <v>176</v>
      </c>
    </row>
    <row r="49" spans="1:7" x14ac:dyDescent="0.25">
      <c r="A49" s="10" t="s">
        <v>5</v>
      </c>
      <c r="B49" s="16">
        <v>5700</v>
      </c>
      <c r="C49" s="84">
        <v>1.8099999999999998E-21</v>
      </c>
      <c r="D49" s="81">
        <v>-1</v>
      </c>
      <c r="E49" s="61" t="s">
        <v>182</v>
      </c>
      <c r="F49" s="82" t="s">
        <v>176</v>
      </c>
      <c r="G49" s="86" t="s">
        <v>176</v>
      </c>
    </row>
    <row r="50" spans="1:7" x14ac:dyDescent="0.25">
      <c r="A50" s="68" t="s">
        <v>183</v>
      </c>
    </row>
    <row r="52" spans="1:7" ht="15.75" x14ac:dyDescent="0.25">
      <c r="A52" s="75" t="s">
        <v>184</v>
      </c>
    </row>
    <row r="53" spans="1:7" x14ac:dyDescent="0.25">
      <c r="A53" s="78" t="s">
        <v>185</v>
      </c>
      <c r="B53" s="79" t="s">
        <v>186</v>
      </c>
      <c r="C53" s="79" t="s">
        <v>187</v>
      </c>
      <c r="D53" s="79" t="s">
        <v>163</v>
      </c>
      <c r="E53" s="79" t="s">
        <v>188</v>
      </c>
      <c r="F53" s="79" t="s">
        <v>173</v>
      </c>
      <c r="G53" s="79" t="s">
        <v>174</v>
      </c>
    </row>
    <row r="54" spans="1:7" x14ac:dyDescent="0.25">
      <c r="A54" t="s">
        <v>189</v>
      </c>
      <c r="B54" s="87">
        <v>148.71600000000001</v>
      </c>
      <c r="C54" s="12">
        <v>4</v>
      </c>
      <c r="D54" s="83">
        <v>3.8400000000000002E-31</v>
      </c>
      <c r="E54" s="80">
        <v>0.88939999999999997</v>
      </c>
      <c r="F54" s="66" t="s">
        <v>175</v>
      </c>
      <c r="G54" s="71" t="s">
        <v>176</v>
      </c>
    </row>
    <row r="55" spans="1:7" x14ac:dyDescent="0.25">
      <c r="A55" s="10" t="s">
        <v>190</v>
      </c>
      <c r="B55" s="88">
        <v>140.666</v>
      </c>
      <c r="C55" s="11">
        <v>1</v>
      </c>
      <c r="D55" s="84">
        <v>1.9E-32</v>
      </c>
      <c r="E55" s="81">
        <v>0.86499999999999999</v>
      </c>
      <c r="F55" s="61" t="s">
        <v>175</v>
      </c>
      <c r="G55" s="82" t="s">
        <v>176</v>
      </c>
    </row>
    <row r="57" spans="1:7" x14ac:dyDescent="0.25">
      <c r="A57" s="23" t="s">
        <v>191</v>
      </c>
    </row>
    <row r="58" spans="1:7" x14ac:dyDescent="0.25">
      <c r="A58" s="89"/>
      <c r="B58" s="79" t="s">
        <v>57</v>
      </c>
      <c r="C58" s="79" t="s">
        <v>58</v>
      </c>
      <c r="D58" s="79" t="s">
        <v>192</v>
      </c>
    </row>
    <row r="59" spans="1:7" x14ac:dyDescent="0.25">
      <c r="A59" t="s">
        <v>68</v>
      </c>
      <c r="B59" s="12">
        <v>44</v>
      </c>
      <c r="C59" s="12">
        <v>0</v>
      </c>
      <c r="D59" s="70">
        <v>44</v>
      </c>
    </row>
    <row r="60" spans="1:7" x14ac:dyDescent="0.25">
      <c r="A60" s="10" t="s">
        <v>70</v>
      </c>
      <c r="B60" s="11">
        <v>38</v>
      </c>
      <c r="C60" s="11">
        <v>0</v>
      </c>
      <c r="D60" s="90">
        <v>38</v>
      </c>
    </row>
    <row r="61" spans="1:7" x14ac:dyDescent="0.25">
      <c r="A61" t="s">
        <v>71</v>
      </c>
      <c r="B61" s="12">
        <v>23</v>
      </c>
      <c r="C61" s="19">
        <v>7</v>
      </c>
      <c r="D61" s="70">
        <v>30</v>
      </c>
    </row>
    <row r="62" spans="1:7" x14ac:dyDescent="0.25">
      <c r="A62" s="10" t="s">
        <v>69</v>
      </c>
      <c r="B62" s="11">
        <v>44</v>
      </c>
      <c r="C62" s="11">
        <v>0</v>
      </c>
      <c r="D62" s="90">
        <v>44</v>
      </c>
    </row>
    <row r="63" spans="1:7" x14ac:dyDescent="0.25">
      <c r="A63" t="s">
        <v>72</v>
      </c>
      <c r="B63" s="12">
        <v>1</v>
      </c>
      <c r="C63" s="66">
        <v>31</v>
      </c>
      <c r="D63" s="70">
        <v>32</v>
      </c>
    </row>
    <row r="65" spans="1:7" x14ac:dyDescent="0.25">
      <c r="A65" s="23" t="s">
        <v>193</v>
      </c>
    </row>
    <row r="66" spans="1:7" x14ac:dyDescent="0.25">
      <c r="A66" s="89"/>
      <c r="B66" s="79" t="s">
        <v>57</v>
      </c>
      <c r="C66" s="79" t="s">
        <v>58</v>
      </c>
      <c r="D66" s="79" t="s">
        <v>192</v>
      </c>
    </row>
    <row r="67" spans="1:7" x14ac:dyDescent="0.25">
      <c r="A67" t="s">
        <v>194</v>
      </c>
      <c r="B67" s="12">
        <v>150</v>
      </c>
      <c r="C67" s="12">
        <v>7</v>
      </c>
      <c r="D67" s="70">
        <v>157</v>
      </c>
    </row>
    <row r="68" spans="1:7" x14ac:dyDescent="0.25">
      <c r="A68" s="10" t="s">
        <v>195</v>
      </c>
      <c r="B68" s="11">
        <v>0</v>
      </c>
      <c r="C68" s="61">
        <v>31</v>
      </c>
      <c r="D68" s="90">
        <v>31</v>
      </c>
    </row>
    <row r="69" spans="1:7" x14ac:dyDescent="0.25">
      <c r="A69" s="4" t="s">
        <v>192</v>
      </c>
      <c r="B69" s="70">
        <v>150</v>
      </c>
      <c r="C69" s="70">
        <v>38</v>
      </c>
      <c r="D69" s="70">
        <v>188</v>
      </c>
    </row>
    <row r="70" spans="1:7" x14ac:dyDescent="0.25">
      <c r="A70" s="68" t="s">
        <v>196</v>
      </c>
    </row>
    <row r="74" spans="1:7" ht="15.75" x14ac:dyDescent="0.25">
      <c r="A74" s="75" t="s">
        <v>197</v>
      </c>
    </row>
    <row r="75" spans="1:7" x14ac:dyDescent="0.25">
      <c r="A75" s="78" t="s">
        <v>18</v>
      </c>
      <c r="B75" s="79" t="s">
        <v>198</v>
      </c>
      <c r="C75" s="79" t="s">
        <v>199</v>
      </c>
      <c r="D75" s="79" t="s">
        <v>163</v>
      </c>
      <c r="E75" s="79" t="s">
        <v>200</v>
      </c>
      <c r="F75" s="79" t="s">
        <v>201</v>
      </c>
      <c r="G75" s="79" t="s">
        <v>174</v>
      </c>
    </row>
    <row r="76" spans="1:7" x14ac:dyDescent="0.25">
      <c r="A76" s="91" t="s">
        <v>6</v>
      </c>
      <c r="B76" s="92">
        <v>0.88280000000000003</v>
      </c>
      <c r="C76" s="93">
        <v>0.77939999999999998</v>
      </c>
      <c r="D76" s="94">
        <v>5.92E-63</v>
      </c>
      <c r="E76" s="63" t="s">
        <v>202</v>
      </c>
      <c r="F76" s="63" t="s">
        <v>203</v>
      </c>
      <c r="G76" s="95" t="s">
        <v>176</v>
      </c>
    </row>
    <row r="77" spans="1:7" x14ac:dyDescent="0.25">
      <c r="A77" s="10" t="s">
        <v>5</v>
      </c>
      <c r="B77" s="81">
        <v>0.80149999999999999</v>
      </c>
      <c r="C77" s="60">
        <v>0.64239999999999997</v>
      </c>
      <c r="D77" s="84">
        <v>2.13E-43</v>
      </c>
      <c r="E77" s="96" t="s">
        <v>202</v>
      </c>
      <c r="F77" s="90" t="s">
        <v>204</v>
      </c>
      <c r="G77" s="82" t="s">
        <v>176</v>
      </c>
    </row>
    <row r="78" spans="1:7" x14ac:dyDescent="0.25">
      <c r="A78" t="s">
        <v>3</v>
      </c>
      <c r="B78" s="80">
        <v>-0.77610000000000001</v>
      </c>
      <c r="C78" s="58">
        <v>0.60229999999999995</v>
      </c>
      <c r="D78" s="83">
        <v>4.3200000000000001E-39</v>
      </c>
      <c r="E78" s="97" t="s">
        <v>205</v>
      </c>
      <c r="F78" s="70" t="s">
        <v>206</v>
      </c>
      <c r="G78" s="71" t="s">
        <v>176</v>
      </c>
    </row>
    <row r="79" spans="1:7" x14ac:dyDescent="0.25">
      <c r="A79" s="10" t="s">
        <v>0</v>
      </c>
      <c r="B79" s="81">
        <v>-0.67179999999999995</v>
      </c>
      <c r="C79" s="60">
        <v>0.45129999999999998</v>
      </c>
      <c r="D79" s="84">
        <v>4.9399999999999998E-26</v>
      </c>
      <c r="E79" s="98" t="s">
        <v>205</v>
      </c>
      <c r="F79" s="90" t="s">
        <v>207</v>
      </c>
      <c r="G79" s="82" t="s">
        <v>176</v>
      </c>
    </row>
    <row r="80" spans="1:7" x14ac:dyDescent="0.25">
      <c r="A80" t="s">
        <v>1</v>
      </c>
      <c r="B80" s="80">
        <v>-0.6169</v>
      </c>
      <c r="C80" s="58">
        <v>0.3805</v>
      </c>
      <c r="D80" s="83">
        <v>4.2600000000000003E-21</v>
      </c>
      <c r="E80" s="97" t="s">
        <v>205</v>
      </c>
      <c r="F80" s="70" t="s">
        <v>208</v>
      </c>
      <c r="G80" s="71" t="s">
        <v>176</v>
      </c>
    </row>
    <row r="81" spans="1:7" x14ac:dyDescent="0.25">
      <c r="A81" s="10" t="s">
        <v>4</v>
      </c>
      <c r="B81" s="81">
        <v>-0.57550000000000001</v>
      </c>
      <c r="C81" s="60">
        <v>0.33119999999999999</v>
      </c>
      <c r="D81" s="84">
        <v>5.6899999999999998E-18</v>
      </c>
      <c r="E81" s="98" t="s">
        <v>205</v>
      </c>
      <c r="F81" s="90" t="s">
        <v>209</v>
      </c>
      <c r="G81" s="82" t="s">
        <v>176</v>
      </c>
    </row>
    <row r="82" spans="1:7" x14ac:dyDescent="0.25">
      <c r="A82" t="s">
        <v>2</v>
      </c>
      <c r="B82" s="80">
        <v>-0.51229999999999998</v>
      </c>
      <c r="C82" s="58">
        <v>0.26240000000000002</v>
      </c>
      <c r="D82" s="83">
        <v>5.7100000000000004E-14</v>
      </c>
      <c r="E82" s="97" t="s">
        <v>205</v>
      </c>
      <c r="F82" s="70" t="s">
        <v>210</v>
      </c>
      <c r="G82" s="71" t="s">
        <v>176</v>
      </c>
    </row>
    <row r="83" spans="1:7" x14ac:dyDescent="0.25">
      <c r="A83" s="99" t="s">
        <v>211</v>
      </c>
    </row>
    <row r="85" spans="1:7" ht="15.75" x14ac:dyDescent="0.25">
      <c r="A85" s="75" t="s">
        <v>212</v>
      </c>
    </row>
    <row r="86" spans="1:7" x14ac:dyDescent="0.25">
      <c r="A86" s="78" t="s">
        <v>16</v>
      </c>
      <c r="B86" s="79" t="s">
        <v>17</v>
      </c>
      <c r="C86" s="78" t="s">
        <v>213</v>
      </c>
    </row>
    <row r="87" spans="1:7" x14ac:dyDescent="0.25">
      <c r="A87" t="s">
        <v>214</v>
      </c>
      <c r="B87" s="100">
        <v>1264.2</v>
      </c>
      <c r="C87" t="s">
        <v>215</v>
      </c>
    </row>
    <row r="88" spans="1:7" x14ac:dyDescent="0.25">
      <c r="A88" s="10" t="s">
        <v>216</v>
      </c>
      <c r="B88" s="16">
        <v>70.37</v>
      </c>
      <c r="C88" s="10" t="s">
        <v>217</v>
      </c>
    </row>
    <row r="89" spans="1:7" x14ac:dyDescent="0.25">
      <c r="A89" t="s">
        <v>218</v>
      </c>
      <c r="B89" s="101">
        <v>22710.93</v>
      </c>
      <c r="C89" t="s">
        <v>219</v>
      </c>
    </row>
    <row r="90" spans="1:7" x14ac:dyDescent="0.25">
      <c r="A90" s="10" t="s">
        <v>220</v>
      </c>
      <c r="B90" s="81">
        <v>0.93169999999999997</v>
      </c>
      <c r="C90" s="10" t="s">
        <v>221</v>
      </c>
    </row>
    <row r="91" spans="1:7" x14ac:dyDescent="0.25">
      <c r="A91" t="s">
        <v>222</v>
      </c>
      <c r="B91" s="12" t="s">
        <v>223</v>
      </c>
      <c r="C91" t="s">
        <v>224</v>
      </c>
    </row>
    <row r="93" spans="1:7" x14ac:dyDescent="0.25">
      <c r="A93" s="4" t="s">
        <v>225</v>
      </c>
      <c r="C93" s="79" t="s">
        <v>226</v>
      </c>
      <c r="D93" s="79" t="s">
        <v>227</v>
      </c>
    </row>
    <row r="94" spans="1:7" x14ac:dyDescent="0.25">
      <c r="A94" s="4" t="s">
        <v>228</v>
      </c>
      <c r="C94" s="66">
        <v>31</v>
      </c>
      <c r="D94" s="12">
        <v>0</v>
      </c>
      <c r="E94" s="68" t="s">
        <v>229</v>
      </c>
    </row>
    <row r="95" spans="1:7" x14ac:dyDescent="0.25">
      <c r="A95" s="59" t="s">
        <v>230</v>
      </c>
      <c r="C95" s="11">
        <v>7</v>
      </c>
      <c r="D95" s="11">
        <v>150</v>
      </c>
    </row>
    <row r="97" spans="1:10" ht="18.75" x14ac:dyDescent="0.3">
      <c r="A97" s="102" t="s">
        <v>231</v>
      </c>
      <c r="B97" s="74"/>
      <c r="C97" s="74"/>
      <c r="D97" s="74"/>
      <c r="E97" s="74"/>
      <c r="F97" s="74"/>
      <c r="G97" s="74"/>
      <c r="H97" s="74"/>
      <c r="I97" s="74"/>
      <c r="J97" s="74"/>
    </row>
    <row r="99" spans="1:10" x14ac:dyDescent="0.25">
      <c r="A99" s="79" t="s">
        <v>108</v>
      </c>
      <c r="B99" s="78" t="s">
        <v>232</v>
      </c>
      <c r="C99" s="78" t="s">
        <v>233</v>
      </c>
      <c r="E99" s="79" t="s">
        <v>234</v>
      </c>
      <c r="F99" s="79" t="s">
        <v>173</v>
      </c>
      <c r="G99" s="78" t="s">
        <v>235</v>
      </c>
    </row>
    <row r="100" spans="1:10" x14ac:dyDescent="0.25">
      <c r="A100" s="70">
        <v>1</v>
      </c>
      <c r="B100" t="s">
        <v>236</v>
      </c>
      <c r="C100" t="s">
        <v>237</v>
      </c>
      <c r="E100" s="19" t="s">
        <v>238</v>
      </c>
      <c r="F100" s="12" t="s">
        <v>239</v>
      </c>
      <c r="G100" t="s">
        <v>240</v>
      </c>
    </row>
    <row r="101" spans="1:10" x14ac:dyDescent="0.25">
      <c r="A101" s="90">
        <v>2</v>
      </c>
      <c r="B101" s="10" t="s">
        <v>241</v>
      </c>
      <c r="C101" s="10" t="s">
        <v>237</v>
      </c>
      <c r="D101" s="10"/>
      <c r="E101" s="96" t="s">
        <v>238</v>
      </c>
      <c r="F101" s="11" t="s">
        <v>242</v>
      </c>
      <c r="G101" s="10" t="s">
        <v>243</v>
      </c>
    </row>
    <row r="102" spans="1:10" x14ac:dyDescent="0.25">
      <c r="A102" s="70">
        <v>3</v>
      </c>
      <c r="B102" t="s">
        <v>244</v>
      </c>
      <c r="C102" t="s">
        <v>237</v>
      </c>
      <c r="E102" s="19" t="s">
        <v>238</v>
      </c>
      <c r="F102" s="12" t="s">
        <v>245</v>
      </c>
      <c r="G102" t="s">
        <v>246</v>
      </c>
    </row>
    <row r="103" spans="1:10" x14ac:dyDescent="0.25">
      <c r="A103" s="90">
        <v>4</v>
      </c>
      <c r="B103" s="10" t="s">
        <v>247</v>
      </c>
      <c r="C103" s="10" t="s">
        <v>237</v>
      </c>
      <c r="D103" s="10"/>
      <c r="E103" s="96" t="s">
        <v>238</v>
      </c>
      <c r="F103" s="11" t="s">
        <v>248</v>
      </c>
      <c r="G103" s="10" t="s">
        <v>249</v>
      </c>
    </row>
    <row r="104" spans="1:10" x14ac:dyDescent="0.25">
      <c r="A104" s="70">
        <v>5</v>
      </c>
      <c r="B104" t="s">
        <v>250</v>
      </c>
      <c r="C104" t="s">
        <v>251</v>
      </c>
      <c r="E104" s="19" t="s">
        <v>238</v>
      </c>
      <c r="F104" s="12" t="s">
        <v>252</v>
      </c>
      <c r="G104" t="s">
        <v>253</v>
      </c>
    </row>
    <row r="105" spans="1:10" x14ac:dyDescent="0.25">
      <c r="A105" s="90">
        <v>6</v>
      </c>
      <c r="B105" s="10" t="s">
        <v>254</v>
      </c>
      <c r="C105" s="10" t="s">
        <v>255</v>
      </c>
      <c r="D105" s="10"/>
      <c r="E105" s="96" t="s">
        <v>238</v>
      </c>
      <c r="F105" s="11" t="s">
        <v>256</v>
      </c>
      <c r="G105" s="10" t="s">
        <v>257</v>
      </c>
    </row>
    <row r="106" spans="1:10" x14ac:dyDescent="0.25">
      <c r="A106" s="70">
        <v>7</v>
      </c>
      <c r="B106" t="s">
        <v>258</v>
      </c>
      <c r="C106" t="s">
        <v>259</v>
      </c>
      <c r="E106" s="19" t="s">
        <v>260</v>
      </c>
      <c r="F106" s="12" t="s">
        <v>261</v>
      </c>
      <c r="G106" t="s">
        <v>262</v>
      </c>
    </row>
    <row r="109" spans="1:10" x14ac:dyDescent="0.25">
      <c r="A109" s="103" t="s">
        <v>263</v>
      </c>
    </row>
    <row r="110" spans="1:10" x14ac:dyDescent="0.25">
      <c r="A110" s="103" t="s">
        <v>264</v>
      </c>
    </row>
    <row r="112" spans="1:10" x14ac:dyDescent="0.25">
      <c r="A112" s="68" t="s">
        <v>265</v>
      </c>
    </row>
    <row r="113" spans="1:10" x14ac:dyDescent="0.25">
      <c r="A113" s="68" t="s">
        <v>266</v>
      </c>
    </row>
    <row r="115" spans="1:10" ht="18.75" x14ac:dyDescent="0.3">
      <c r="A115" s="102" t="s">
        <v>321</v>
      </c>
      <c r="B115" s="74"/>
      <c r="C115" s="74"/>
      <c r="D115" s="74"/>
      <c r="E115" s="74"/>
      <c r="F115" s="74"/>
      <c r="G115" s="74"/>
      <c r="H115" s="74"/>
      <c r="I115" s="74"/>
      <c r="J115" s="74"/>
    </row>
    <row r="117" spans="1:10" x14ac:dyDescent="0.25">
      <c r="A117" s="68" t="s">
        <v>322</v>
      </c>
    </row>
    <row r="118" spans="1:10" x14ac:dyDescent="0.25">
      <c r="A118" s="68" t="s">
        <v>323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1837-8690-44B1-930E-335756535CCC}">
  <dimension ref="A1:O35"/>
  <sheetViews>
    <sheetView tabSelected="1" topLeftCell="A9" workbookViewId="0"/>
  </sheetViews>
  <sheetFormatPr defaultRowHeight="15" x14ac:dyDescent="0.25"/>
  <sheetData>
    <row r="1" spans="1:15" x14ac:dyDescent="0.25">
      <c r="A1" t="s">
        <v>267</v>
      </c>
      <c r="B1" t="s">
        <v>268</v>
      </c>
      <c r="C1" t="s">
        <v>269</v>
      </c>
      <c r="E1" t="s">
        <v>270</v>
      </c>
      <c r="F1" t="s">
        <v>268</v>
      </c>
      <c r="G1" t="s">
        <v>269</v>
      </c>
      <c r="I1" t="s">
        <v>271</v>
      </c>
      <c r="J1" t="s">
        <v>268</v>
      </c>
      <c r="K1" t="s">
        <v>269</v>
      </c>
      <c r="M1" t="s">
        <v>272</v>
      </c>
      <c r="N1" t="s">
        <v>268</v>
      </c>
      <c r="O1" t="s">
        <v>269</v>
      </c>
    </row>
    <row r="2" spans="1:15" x14ac:dyDescent="0.25">
      <c r="B2">
        <v>-1.96</v>
      </c>
      <c r="C2">
        <v>-1.7569999999999999</v>
      </c>
      <c r="F2">
        <v>-1.96</v>
      </c>
      <c r="G2">
        <v>-1.4419999999999999</v>
      </c>
      <c r="J2">
        <v>-1.96</v>
      </c>
      <c r="K2">
        <v>-1.5529999999999999</v>
      </c>
      <c r="N2">
        <v>-1.96</v>
      </c>
      <c r="O2">
        <v>-1.329</v>
      </c>
    </row>
    <row r="3" spans="1:15" x14ac:dyDescent="0.25">
      <c r="B3">
        <v>-1.44</v>
      </c>
      <c r="C3">
        <v>-1.629</v>
      </c>
      <c r="F3">
        <v>-1.44</v>
      </c>
      <c r="G3">
        <v>-1.258</v>
      </c>
      <c r="J3">
        <v>-1.44</v>
      </c>
      <c r="K3">
        <v>-1.45</v>
      </c>
      <c r="N3">
        <v>-1.44</v>
      </c>
      <c r="O3">
        <v>-1.264</v>
      </c>
    </row>
    <row r="4" spans="1:15" x14ac:dyDescent="0.25">
      <c r="B4">
        <v>-1.1499999999999999</v>
      </c>
      <c r="C4">
        <v>-1.484</v>
      </c>
      <c r="F4">
        <v>-1.1499999999999999</v>
      </c>
      <c r="G4">
        <v>-1.1659999999999999</v>
      </c>
      <c r="J4">
        <v>-1.1499999999999999</v>
      </c>
      <c r="K4">
        <v>-1.244</v>
      </c>
      <c r="N4">
        <v>-1.1499999999999999</v>
      </c>
      <c r="O4">
        <v>-1.198</v>
      </c>
    </row>
    <row r="5" spans="1:15" x14ac:dyDescent="0.25">
      <c r="B5">
        <v>-0.93500000000000005</v>
      </c>
      <c r="C5">
        <v>-1.302</v>
      </c>
      <c r="F5">
        <v>-0.93500000000000005</v>
      </c>
      <c r="G5">
        <v>-0.98199999999999998</v>
      </c>
      <c r="J5">
        <v>-0.93500000000000005</v>
      </c>
      <c r="K5">
        <v>-1.141</v>
      </c>
      <c r="N5">
        <v>-0.93500000000000005</v>
      </c>
      <c r="O5">
        <v>-1.111</v>
      </c>
    </row>
    <row r="6" spans="1:15" x14ac:dyDescent="0.25">
      <c r="B6">
        <v>-0.755</v>
      </c>
      <c r="C6">
        <v>-1.0289999999999999</v>
      </c>
      <c r="F6">
        <v>-0.755</v>
      </c>
      <c r="G6">
        <v>-0.79900000000000004</v>
      </c>
      <c r="J6">
        <v>-0.755</v>
      </c>
      <c r="K6">
        <v>-0.93600000000000005</v>
      </c>
      <c r="N6">
        <v>-0.755</v>
      </c>
      <c r="O6">
        <v>-0.97899999999999998</v>
      </c>
    </row>
    <row r="7" spans="1:15" x14ac:dyDescent="0.25">
      <c r="B7">
        <v>-0.59799999999999998</v>
      </c>
      <c r="C7">
        <v>-0.70199999999999996</v>
      </c>
      <c r="F7">
        <v>-0.59799999999999998</v>
      </c>
      <c r="G7">
        <v>-0.70699999999999996</v>
      </c>
      <c r="J7">
        <v>-0.59799999999999998</v>
      </c>
      <c r="K7">
        <v>-0.83299999999999996</v>
      </c>
      <c r="N7">
        <v>-0.59799999999999998</v>
      </c>
      <c r="O7">
        <v>-0.84799999999999998</v>
      </c>
    </row>
    <row r="8" spans="1:15" x14ac:dyDescent="0.25">
      <c r="B8">
        <v>-0.45400000000000001</v>
      </c>
      <c r="C8">
        <v>-0.42899999999999999</v>
      </c>
      <c r="F8">
        <v>-0.45400000000000001</v>
      </c>
      <c r="G8">
        <v>-0.61499999999999999</v>
      </c>
      <c r="J8">
        <v>-0.45400000000000001</v>
      </c>
      <c r="K8">
        <v>-0.627</v>
      </c>
      <c r="N8">
        <v>-0.45400000000000001</v>
      </c>
      <c r="O8">
        <v>-0.71699999999999997</v>
      </c>
    </row>
    <row r="9" spans="1:15" x14ac:dyDescent="0.25">
      <c r="B9">
        <v>-0.31900000000000001</v>
      </c>
      <c r="C9">
        <v>-0.28399999999999997</v>
      </c>
      <c r="F9">
        <v>-0.31900000000000001</v>
      </c>
      <c r="G9">
        <v>-0.52300000000000002</v>
      </c>
      <c r="J9">
        <v>-0.31900000000000001</v>
      </c>
      <c r="K9">
        <v>-0.52400000000000002</v>
      </c>
      <c r="N9">
        <v>-0.31900000000000001</v>
      </c>
      <c r="O9">
        <v>-0.60799999999999998</v>
      </c>
    </row>
    <row r="10" spans="1:15" x14ac:dyDescent="0.25">
      <c r="B10">
        <v>-0.189</v>
      </c>
      <c r="C10">
        <v>7.0000000000000001E-3</v>
      </c>
      <c r="F10">
        <v>-0.189</v>
      </c>
      <c r="G10">
        <v>-0.432</v>
      </c>
      <c r="J10">
        <v>-0.189</v>
      </c>
      <c r="K10">
        <v>-0.31900000000000001</v>
      </c>
      <c r="N10">
        <v>-0.189</v>
      </c>
      <c r="O10">
        <v>-0.498</v>
      </c>
    </row>
    <row r="11" spans="1:15" x14ac:dyDescent="0.25">
      <c r="B11">
        <v>-6.3E-2</v>
      </c>
      <c r="C11">
        <v>0.153</v>
      </c>
      <c r="F11">
        <v>-6.3E-2</v>
      </c>
      <c r="G11">
        <v>-0.248</v>
      </c>
      <c r="J11">
        <v>-6.3E-2</v>
      </c>
      <c r="K11">
        <v>-0.216</v>
      </c>
      <c r="N11">
        <v>-6.3E-2</v>
      </c>
      <c r="O11">
        <v>-0.32400000000000001</v>
      </c>
    </row>
    <row r="12" spans="1:15" x14ac:dyDescent="0.25">
      <c r="B12">
        <v>6.3E-2</v>
      </c>
      <c r="C12">
        <v>0.28000000000000003</v>
      </c>
      <c r="F12">
        <v>6.3E-2</v>
      </c>
      <c r="G12">
        <v>-0.156</v>
      </c>
      <c r="J12">
        <v>6.3E-2</v>
      </c>
      <c r="K12">
        <v>9.2999999999999999E-2</v>
      </c>
      <c r="N12">
        <v>6.3E-2</v>
      </c>
      <c r="O12">
        <v>4.0000000000000001E-3</v>
      </c>
    </row>
    <row r="13" spans="1:15" x14ac:dyDescent="0.25">
      <c r="B13">
        <v>0.189</v>
      </c>
      <c r="C13">
        <v>0.38900000000000001</v>
      </c>
      <c r="F13">
        <v>0.189</v>
      </c>
      <c r="G13">
        <v>2.8000000000000001E-2</v>
      </c>
      <c r="J13">
        <v>0.189</v>
      </c>
      <c r="K13">
        <v>0.29799999999999999</v>
      </c>
      <c r="N13">
        <v>0.189</v>
      </c>
      <c r="O13">
        <v>0.245</v>
      </c>
    </row>
    <row r="14" spans="1:15" x14ac:dyDescent="0.25">
      <c r="B14">
        <v>0.31900000000000001</v>
      </c>
      <c r="C14">
        <v>0.498</v>
      </c>
      <c r="F14">
        <v>0.31900000000000001</v>
      </c>
      <c r="G14">
        <v>0.21099999999999999</v>
      </c>
      <c r="J14">
        <v>0.31900000000000001</v>
      </c>
      <c r="K14">
        <v>0.504</v>
      </c>
      <c r="N14">
        <v>0.31900000000000001</v>
      </c>
      <c r="O14">
        <v>0.42</v>
      </c>
    </row>
    <row r="15" spans="1:15" x14ac:dyDescent="0.25">
      <c r="B15">
        <v>0.45400000000000001</v>
      </c>
      <c r="C15">
        <v>0.64400000000000002</v>
      </c>
      <c r="F15">
        <v>0.45400000000000001</v>
      </c>
      <c r="G15">
        <v>0.30299999999999999</v>
      </c>
      <c r="J15">
        <v>0.45400000000000001</v>
      </c>
      <c r="K15">
        <v>0.60699999999999998</v>
      </c>
      <c r="N15">
        <v>0.45400000000000001</v>
      </c>
      <c r="O15">
        <v>0.59499999999999997</v>
      </c>
    </row>
    <row r="16" spans="1:15" x14ac:dyDescent="0.25">
      <c r="B16">
        <v>0.59799999999999998</v>
      </c>
      <c r="C16">
        <v>0.80700000000000005</v>
      </c>
      <c r="F16">
        <v>0.59799999999999998</v>
      </c>
      <c r="G16">
        <v>0.48699999999999999</v>
      </c>
      <c r="J16">
        <v>0.59799999999999998</v>
      </c>
      <c r="K16">
        <v>0.81200000000000006</v>
      </c>
      <c r="N16">
        <v>0.59799999999999998</v>
      </c>
      <c r="O16">
        <v>0.748</v>
      </c>
    </row>
    <row r="17" spans="1:15" x14ac:dyDescent="0.25">
      <c r="B17">
        <v>0.755</v>
      </c>
      <c r="C17">
        <v>0.91700000000000004</v>
      </c>
      <c r="F17">
        <v>0.755</v>
      </c>
      <c r="G17">
        <v>0.85399999999999998</v>
      </c>
      <c r="J17">
        <v>0.755</v>
      </c>
      <c r="K17">
        <v>0.91500000000000004</v>
      </c>
      <c r="N17">
        <v>0.755</v>
      </c>
      <c r="O17">
        <v>0.94399999999999995</v>
      </c>
    </row>
    <row r="18" spans="1:15" x14ac:dyDescent="0.25">
      <c r="B18">
        <v>0.93500000000000005</v>
      </c>
      <c r="C18">
        <v>1.044</v>
      </c>
      <c r="F18">
        <v>0.93500000000000005</v>
      </c>
      <c r="G18">
        <v>1.129</v>
      </c>
      <c r="J18">
        <v>0.93500000000000005</v>
      </c>
      <c r="K18">
        <v>1.121</v>
      </c>
      <c r="N18">
        <v>0.93500000000000005</v>
      </c>
      <c r="O18">
        <v>1.163</v>
      </c>
    </row>
    <row r="19" spans="1:15" x14ac:dyDescent="0.25">
      <c r="B19">
        <v>1.1499999999999999</v>
      </c>
      <c r="C19">
        <v>1.153</v>
      </c>
      <c r="F19">
        <v>1.1499999999999999</v>
      </c>
      <c r="G19">
        <v>1.4970000000000001</v>
      </c>
      <c r="J19">
        <v>1.1499999999999999</v>
      </c>
      <c r="K19">
        <v>1.3260000000000001</v>
      </c>
      <c r="N19">
        <v>1.1499999999999999</v>
      </c>
      <c r="O19">
        <v>1.3380000000000001</v>
      </c>
    </row>
    <row r="20" spans="1:15" x14ac:dyDescent="0.25">
      <c r="B20">
        <v>1.44</v>
      </c>
      <c r="C20">
        <v>1.298</v>
      </c>
      <c r="F20">
        <v>1.44</v>
      </c>
      <c r="G20">
        <v>1.772</v>
      </c>
      <c r="J20">
        <v>1.44</v>
      </c>
      <c r="K20">
        <v>1.532</v>
      </c>
      <c r="N20">
        <v>1.44</v>
      </c>
      <c r="O20">
        <v>1.6</v>
      </c>
    </row>
    <row r="21" spans="1:15" x14ac:dyDescent="0.25">
      <c r="B21">
        <v>1.96</v>
      </c>
      <c r="C21">
        <v>1.4259999999999999</v>
      </c>
      <c r="F21">
        <v>1.96</v>
      </c>
      <c r="G21">
        <v>2.048</v>
      </c>
      <c r="J21">
        <v>1.96</v>
      </c>
      <c r="K21">
        <v>1.635</v>
      </c>
      <c r="N21">
        <v>1.96</v>
      </c>
      <c r="O21">
        <v>1.819</v>
      </c>
    </row>
    <row r="24" spans="1:15" x14ac:dyDescent="0.25">
      <c r="A24" t="s">
        <v>273</v>
      </c>
      <c r="B24" t="s">
        <v>65</v>
      </c>
      <c r="C24" t="s">
        <v>132</v>
      </c>
      <c r="E24" t="s">
        <v>285</v>
      </c>
      <c r="F24" t="s">
        <v>65</v>
      </c>
      <c r="G24" t="s">
        <v>132</v>
      </c>
      <c r="I24" t="s">
        <v>297</v>
      </c>
      <c r="J24" t="s">
        <v>65</v>
      </c>
      <c r="K24" t="s">
        <v>132</v>
      </c>
      <c r="M24" t="s">
        <v>309</v>
      </c>
      <c r="N24" t="s">
        <v>65</v>
      </c>
      <c r="O24" t="s">
        <v>132</v>
      </c>
    </row>
    <row r="25" spans="1:15" x14ac:dyDescent="0.25">
      <c r="A25" t="s">
        <v>274</v>
      </c>
      <c r="B25">
        <v>21</v>
      </c>
      <c r="C25">
        <v>0</v>
      </c>
      <c r="E25" t="s">
        <v>286</v>
      </c>
      <c r="F25">
        <v>0</v>
      </c>
      <c r="G25">
        <v>20</v>
      </c>
      <c r="I25" t="s">
        <v>298</v>
      </c>
      <c r="J25">
        <v>18</v>
      </c>
      <c r="K25">
        <v>0</v>
      </c>
      <c r="M25" t="s">
        <v>310</v>
      </c>
      <c r="N25">
        <v>34</v>
      </c>
      <c r="O25">
        <v>1</v>
      </c>
    </row>
    <row r="26" spans="1:15" x14ac:dyDescent="0.25">
      <c r="A26" t="s">
        <v>275</v>
      </c>
      <c r="B26">
        <v>13</v>
      </c>
      <c r="C26">
        <v>0</v>
      </c>
      <c r="E26" t="s">
        <v>287</v>
      </c>
      <c r="F26">
        <v>0</v>
      </c>
      <c r="G26">
        <v>16</v>
      </c>
      <c r="I26" t="s">
        <v>299</v>
      </c>
      <c r="J26">
        <v>20</v>
      </c>
      <c r="K26">
        <v>1</v>
      </c>
      <c r="M26" t="s">
        <v>311</v>
      </c>
      <c r="N26">
        <v>4</v>
      </c>
      <c r="O26">
        <v>18</v>
      </c>
    </row>
    <row r="27" spans="1:15" x14ac:dyDescent="0.25">
      <c r="A27" t="s">
        <v>276</v>
      </c>
      <c r="B27">
        <v>4</v>
      </c>
      <c r="C27">
        <v>9</v>
      </c>
      <c r="E27" t="s">
        <v>288</v>
      </c>
      <c r="F27">
        <v>0</v>
      </c>
      <c r="G27">
        <v>37</v>
      </c>
      <c r="I27" t="s">
        <v>300</v>
      </c>
      <c r="J27">
        <v>0</v>
      </c>
      <c r="K27">
        <v>20</v>
      </c>
      <c r="M27" t="s">
        <v>312</v>
      </c>
      <c r="N27">
        <v>0</v>
      </c>
      <c r="O27">
        <v>23</v>
      </c>
    </row>
    <row r="28" spans="1:15" x14ac:dyDescent="0.25">
      <c r="A28" t="s">
        <v>277</v>
      </c>
      <c r="B28">
        <v>0</v>
      </c>
      <c r="C28">
        <v>5</v>
      </c>
      <c r="E28" t="s">
        <v>289</v>
      </c>
      <c r="F28">
        <v>0</v>
      </c>
      <c r="G28">
        <v>19</v>
      </c>
      <c r="I28" t="s">
        <v>301</v>
      </c>
      <c r="J28">
        <v>0</v>
      </c>
      <c r="K28">
        <v>18</v>
      </c>
      <c r="M28" t="s">
        <v>313</v>
      </c>
      <c r="N28">
        <v>0</v>
      </c>
      <c r="O28">
        <v>15</v>
      </c>
    </row>
    <row r="29" spans="1:15" x14ac:dyDescent="0.25">
      <c r="A29" t="s">
        <v>278</v>
      </c>
      <c r="B29">
        <v>0</v>
      </c>
      <c r="C29">
        <v>14</v>
      </c>
      <c r="E29" t="s">
        <v>290</v>
      </c>
      <c r="F29">
        <v>0</v>
      </c>
      <c r="G29">
        <v>23</v>
      </c>
      <c r="I29" t="s">
        <v>302</v>
      </c>
      <c r="J29">
        <v>0</v>
      </c>
      <c r="K29">
        <v>17</v>
      </c>
      <c r="M29" t="s">
        <v>314</v>
      </c>
      <c r="N29">
        <v>0</v>
      </c>
      <c r="O29">
        <v>7</v>
      </c>
    </row>
    <row r="30" spans="1:15" x14ac:dyDescent="0.25">
      <c r="A30" t="s">
        <v>279</v>
      </c>
      <c r="B30">
        <v>0</v>
      </c>
      <c r="C30">
        <v>12</v>
      </c>
      <c r="E30" t="s">
        <v>291</v>
      </c>
      <c r="F30">
        <v>0</v>
      </c>
      <c r="G30">
        <v>20</v>
      </c>
      <c r="I30" t="s">
        <v>303</v>
      </c>
      <c r="J30">
        <v>0</v>
      </c>
      <c r="K30">
        <v>7</v>
      </c>
      <c r="M30" t="s">
        <v>315</v>
      </c>
      <c r="N30">
        <v>0</v>
      </c>
      <c r="O30">
        <v>14</v>
      </c>
    </row>
    <row r="31" spans="1:15" x14ac:dyDescent="0.25">
      <c r="A31" t="s">
        <v>280</v>
      </c>
      <c r="B31">
        <v>0</v>
      </c>
      <c r="C31">
        <v>20</v>
      </c>
      <c r="E31" t="s">
        <v>292</v>
      </c>
      <c r="F31">
        <v>0</v>
      </c>
      <c r="G31">
        <v>11</v>
      </c>
      <c r="I31" t="s">
        <v>304</v>
      </c>
      <c r="J31">
        <v>0</v>
      </c>
      <c r="K31">
        <v>17</v>
      </c>
      <c r="M31" t="s">
        <v>316</v>
      </c>
      <c r="N31">
        <v>0</v>
      </c>
      <c r="O31">
        <v>17</v>
      </c>
    </row>
    <row r="32" spans="1:15" x14ac:dyDescent="0.25">
      <c r="A32" t="s">
        <v>281</v>
      </c>
      <c r="B32">
        <v>0</v>
      </c>
      <c r="C32">
        <v>26</v>
      </c>
      <c r="E32" t="s">
        <v>293</v>
      </c>
      <c r="F32">
        <v>6</v>
      </c>
      <c r="G32">
        <v>4</v>
      </c>
      <c r="I32" t="s">
        <v>305</v>
      </c>
      <c r="J32">
        <v>0</v>
      </c>
      <c r="K32">
        <v>18</v>
      </c>
      <c r="M32" t="s">
        <v>317</v>
      </c>
      <c r="N32">
        <v>0</v>
      </c>
      <c r="O32">
        <v>15</v>
      </c>
    </row>
    <row r="33" spans="1:15" x14ac:dyDescent="0.25">
      <c r="A33" t="s">
        <v>282</v>
      </c>
      <c r="B33">
        <v>0</v>
      </c>
      <c r="C33">
        <v>16</v>
      </c>
      <c r="E33" t="s">
        <v>294</v>
      </c>
      <c r="F33">
        <v>10</v>
      </c>
      <c r="G33">
        <v>0</v>
      </c>
      <c r="I33" t="s">
        <v>306</v>
      </c>
      <c r="J33">
        <v>0</v>
      </c>
      <c r="K33">
        <v>17</v>
      </c>
      <c r="M33" t="s">
        <v>318</v>
      </c>
      <c r="N33">
        <v>0</v>
      </c>
      <c r="O33">
        <v>13</v>
      </c>
    </row>
    <row r="34" spans="1:15" x14ac:dyDescent="0.25">
      <c r="A34" t="s">
        <v>283</v>
      </c>
      <c r="B34">
        <v>0</v>
      </c>
      <c r="C34">
        <v>26</v>
      </c>
      <c r="E34" t="s">
        <v>295</v>
      </c>
      <c r="F34">
        <v>8</v>
      </c>
      <c r="G34">
        <v>0</v>
      </c>
      <c r="I34" t="s">
        <v>307</v>
      </c>
      <c r="J34">
        <v>0</v>
      </c>
      <c r="K34">
        <v>18</v>
      </c>
      <c r="M34" t="s">
        <v>319</v>
      </c>
      <c r="N34">
        <v>0</v>
      </c>
      <c r="O34">
        <v>14</v>
      </c>
    </row>
    <row r="35" spans="1:15" x14ac:dyDescent="0.25">
      <c r="A35" t="s">
        <v>284</v>
      </c>
      <c r="B35">
        <v>0</v>
      </c>
      <c r="C35">
        <v>22</v>
      </c>
      <c r="E35" t="s">
        <v>296</v>
      </c>
      <c r="F35">
        <v>14</v>
      </c>
      <c r="G35">
        <v>0</v>
      </c>
      <c r="I35" t="s">
        <v>308</v>
      </c>
      <c r="J35">
        <v>0</v>
      </c>
      <c r="K35">
        <v>17</v>
      </c>
      <c r="M35" t="s">
        <v>320</v>
      </c>
      <c r="N35">
        <v>0</v>
      </c>
      <c r="O35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951389C26C444E96D37C991807BA49" ma:contentTypeVersion="5" ma:contentTypeDescription="Create a new document." ma:contentTypeScope="" ma:versionID="f165e5ac4cf6e31e59a2ff7a8cf5f07f">
  <xsd:schema xmlns:xsd="http://www.w3.org/2001/XMLSchema" xmlns:xs="http://www.w3.org/2001/XMLSchema" xmlns:p="http://schemas.microsoft.com/office/2006/metadata/properties" xmlns:ns3="3f3e8201-8a17-427d-ae9f-b22c10a35505" targetNamespace="http://schemas.microsoft.com/office/2006/metadata/properties" ma:root="true" ma:fieldsID="9b7036a731317d9f28d4ffa9275e807c" ns3:_="">
    <xsd:import namespace="3f3e8201-8a17-427d-ae9f-b22c10a355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e8201-8a17-427d-ae9f-b22c10a355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3e8201-8a17-427d-ae9f-b22c10a35505" xsi:nil="true"/>
  </documentManagement>
</p:properties>
</file>

<file path=customXml/itemProps1.xml><?xml version="1.0" encoding="utf-8"?>
<ds:datastoreItem xmlns:ds="http://schemas.openxmlformats.org/officeDocument/2006/customXml" ds:itemID="{61403F99-373B-454C-9E61-DF4A595488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e8201-8a17-427d-ae9f-b22c10a35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A9E282-992B-43E9-8685-0C7BBDE66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C96C7D-971C-4091-87A0-EDCF76931D8D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3f3e8201-8a17-427d-ae9f-b22c10a35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loan_default_data</vt:lpstr>
      <vt:lpstr>EDA Dashboard</vt:lpstr>
      <vt:lpstr>Statistical Inference</vt:lpstr>
      <vt:lpstr>_chart_data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 Quaye</dc:creator>
  <cp:lastModifiedBy>David Ofosu-Arko</cp:lastModifiedBy>
  <dcterms:created xsi:type="dcterms:W3CDTF">2026-02-10T20:59:49Z</dcterms:created>
  <dcterms:modified xsi:type="dcterms:W3CDTF">2026-02-10T21:00:59Z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0x010100AB951389C26C444E96D37C991807BA49</vt:lpwstr>
  </property>
</Properties>
</file>